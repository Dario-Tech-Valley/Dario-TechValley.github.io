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E:\Users\smr1a-23\Desktop\EXCEL-RICARDO\Prácticas\practica 6\"/>
    </mc:Choice>
  </mc:AlternateContent>
  <xr:revisionPtr revIDLastSave="0" documentId="13_ncr:1_{65F1FE68-96A1-45C8-860A-A27869498634}" xr6:coauthVersionLast="36" xr6:coauthVersionMax="36" xr10:uidLastSave="{00000000-0000-0000-0000-000000000000}"/>
  <bookViews>
    <workbookView xWindow="0" yWindow="0" windowWidth="18510" windowHeight="7890" activeTab="3" xr2:uid="{00000000-000D-0000-FFFF-FFFF00000000}"/>
  </bookViews>
  <sheets>
    <sheet name="Ejercicio 1" sheetId="2" r:id="rId1"/>
    <sheet name="Ejercicio 2" sheetId="3" r:id="rId2"/>
    <sheet name="Ejercicio 3A" sheetId="6" r:id="rId3"/>
    <sheet name="Ejercicio 4" sheetId="8" r:id="rId4"/>
  </sheets>
  <externalReferences>
    <externalReference r:id="rId5"/>
  </externalReferences>
  <definedNames>
    <definedName name="descuento">'[1]Ejercicio 19'!$A$3:$B$6</definedName>
    <definedName name="inventario">'[1]Ejercicio 19'!$A$24:$D$38</definedName>
    <definedName name="tabla">'[1]Ejercicio 18'!$A$5:$C$8</definedName>
    <definedName name="TABLANOMBR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3" l="1"/>
  <c r="D12" i="8" l="1"/>
  <c r="C12" i="8"/>
  <c r="D11" i="8"/>
  <c r="C11" i="8"/>
  <c r="D10" i="8"/>
  <c r="C10" i="8"/>
  <c r="D9" i="8"/>
  <c r="C9" i="8"/>
  <c r="E8" i="8"/>
  <c r="F8" i="8" s="1"/>
  <c r="G8" i="8" s="1"/>
  <c r="E7" i="8"/>
  <c r="F7" i="8" s="1"/>
  <c r="G7" i="8" s="1"/>
  <c r="E6" i="8"/>
  <c r="F6" i="8" s="1"/>
  <c r="G6" i="8" s="1"/>
  <c r="E5" i="8"/>
  <c r="F5" i="8" s="1"/>
  <c r="G5" i="8" s="1"/>
  <c r="E4" i="8"/>
  <c r="F4" i="8" s="1"/>
  <c r="G4" i="8" s="1"/>
  <c r="E3" i="8"/>
  <c r="F3" i="8" s="1"/>
  <c r="G15" i="6"/>
  <c r="F15" i="6"/>
  <c r="E15" i="6"/>
  <c r="D15" i="6"/>
  <c r="C15" i="6"/>
  <c r="G14" i="6"/>
  <c r="F14" i="6"/>
  <c r="E14" i="6"/>
  <c r="D14" i="6"/>
  <c r="C14" i="6"/>
  <c r="H13" i="6"/>
  <c r="G13" i="6"/>
  <c r="F13" i="6"/>
  <c r="E13" i="6"/>
  <c r="D13" i="6"/>
  <c r="C13" i="6"/>
  <c r="H12" i="6"/>
  <c r="I12" i="6" s="1"/>
  <c r="H11" i="6"/>
  <c r="J11" i="6" s="1"/>
  <c r="H10" i="6"/>
  <c r="I9" i="6"/>
  <c r="H9" i="6"/>
  <c r="H8" i="6"/>
  <c r="H7" i="6"/>
  <c r="J7" i="6" s="1"/>
  <c r="H6" i="6"/>
  <c r="H5" i="6"/>
  <c r="I5" i="6" s="1"/>
  <c r="H4" i="6"/>
  <c r="H3" i="6"/>
  <c r="D7" i="3"/>
  <c r="C7" i="3"/>
  <c r="E6" i="3"/>
  <c r="H6" i="3" s="1"/>
  <c r="F5" i="3"/>
  <c r="I5" i="3"/>
  <c r="E4" i="3"/>
  <c r="H4" i="3" s="1"/>
  <c r="E3" i="3"/>
  <c r="H3" i="3" s="1"/>
  <c r="B3" i="2"/>
  <c r="B6" i="2" s="1"/>
  <c r="G2" i="2"/>
  <c r="G3" i="2"/>
  <c r="C3" i="2"/>
  <c r="D3" i="2"/>
  <c r="D6" i="2" s="1"/>
  <c r="E3" i="2"/>
  <c r="F3" i="2"/>
  <c r="F6" i="2" s="1"/>
  <c r="B4" i="2"/>
  <c r="C4" i="2"/>
  <c r="D4" i="2"/>
  <c r="E4" i="2"/>
  <c r="E6" i="2" s="1"/>
  <c r="F4" i="2"/>
  <c r="B5" i="2"/>
  <c r="C5" i="2"/>
  <c r="D5" i="2"/>
  <c r="E5" i="2"/>
  <c r="F5" i="2"/>
  <c r="C6" i="2"/>
  <c r="G6" i="2" l="1"/>
  <c r="F12" i="8"/>
  <c r="H5" i="3"/>
  <c r="H7" i="3" s="1"/>
  <c r="J6" i="6"/>
  <c r="I11" i="6"/>
  <c r="F3" i="3"/>
  <c r="J3" i="6"/>
  <c r="J8" i="6"/>
  <c r="I3" i="6"/>
  <c r="J9" i="6"/>
  <c r="G4" i="2"/>
  <c r="J4" i="6"/>
  <c r="E7" i="3"/>
  <c r="I7" i="6"/>
  <c r="G5" i="2"/>
  <c r="J5" i="6"/>
  <c r="J10" i="6"/>
  <c r="E11" i="8"/>
  <c r="F9" i="8"/>
  <c r="E10" i="8"/>
  <c r="F11" i="8"/>
  <c r="E12" i="8"/>
  <c r="G3" i="8"/>
  <c r="E9" i="8"/>
  <c r="F10" i="8"/>
  <c r="J12" i="6"/>
  <c r="I4" i="6"/>
  <c r="I6" i="6"/>
  <c r="I8" i="6"/>
  <c r="I10" i="6"/>
  <c r="G4" i="3"/>
  <c r="I4" i="3"/>
  <c r="G6" i="3"/>
  <c r="I6" i="3"/>
  <c r="G3" i="3"/>
  <c r="I3" i="3"/>
  <c r="F4" i="3"/>
  <c r="F7" i="3" s="1"/>
  <c r="G5" i="3"/>
  <c r="F6" i="3"/>
  <c r="I7" i="3" l="1"/>
  <c r="G7" i="3"/>
  <c r="G11" i="8"/>
  <c r="G9" i="8"/>
  <c r="G12" i="8"/>
  <c r="G10" i="8"/>
</calcChain>
</file>

<file path=xl/sharedStrings.xml><?xml version="1.0" encoding="utf-8"?>
<sst xmlns="http://schemas.openxmlformats.org/spreadsheetml/2006/main" count="70" uniqueCount="61">
  <si>
    <t>Gastos Fijos</t>
  </si>
  <si>
    <t>% Impuestos</t>
  </si>
  <si>
    <t xml:space="preserve">% Comercial </t>
  </si>
  <si>
    <t>Total Neto</t>
  </si>
  <si>
    <t>Total Impuestos</t>
  </si>
  <si>
    <t>Total Comisiones</t>
  </si>
  <si>
    <t>Total Ventas</t>
  </si>
  <si>
    <t>Total</t>
  </si>
  <si>
    <t>Mayo</t>
  </si>
  <si>
    <t>Abril</t>
  </si>
  <si>
    <t>Marzo</t>
  </si>
  <si>
    <t>Febrero</t>
  </si>
  <si>
    <t>Enero</t>
  </si>
  <si>
    <t>NÚM. 
ALUMNOS</t>
  </si>
  <si>
    <t>HORAS</t>
  </si>
  <si>
    <t>SUBVENCIÓN</t>
  </si>
  <si>
    <t>ADMINISTRACIÓN</t>
  </si>
  <si>
    <t>INSTALACIONES</t>
  </si>
  <si>
    <t>PROFESORADO</t>
  </si>
  <si>
    <t>MATERIAL</t>
  </si>
  <si>
    <t>OFIMÁTICA AVANZADA</t>
  </si>
  <si>
    <t>OFIMÁTICA INICIAL</t>
  </si>
  <si>
    <t>DISEÑO GRÁFICO</t>
  </si>
  <si>
    <t>COMERCIO ELECTRÓNICO</t>
  </si>
  <si>
    <t>TOTALES</t>
  </si>
  <si>
    <t>SUBVENCIÓN (hora/alumno)</t>
  </si>
  <si>
    <t>TOTAL</t>
  </si>
  <si>
    <t>MÓDULO 1</t>
  </si>
  <si>
    <t>MÓDULO 2</t>
  </si>
  <si>
    <t>MÓDULO 3</t>
  </si>
  <si>
    <t>MÓDULO 4</t>
  </si>
  <si>
    <t>MÓDULO 5</t>
  </si>
  <si>
    <t>PROMEDIO</t>
  </si>
  <si>
    <t>¿APTO?</t>
  </si>
  <si>
    <t>DESTACA</t>
  </si>
  <si>
    <t xml:space="preserve">Estan Camino, Jesús </t>
  </si>
  <si>
    <t xml:space="preserve">Flores del Campo, Margarita </t>
  </si>
  <si>
    <t xml:space="preserve">Fina Segura, Eva </t>
  </si>
  <si>
    <t xml:space="preserve">Marco Gol, Roberto </t>
  </si>
  <si>
    <t xml:space="preserve">Sin Mayordomo, José </t>
  </si>
  <si>
    <t xml:space="preserve">Trabajo Cumplido, Pedro </t>
  </si>
  <si>
    <t xml:space="preserve">Bronca Segura, Armando </t>
  </si>
  <si>
    <t xml:space="preserve">Izquierdo, Segundo </t>
  </si>
  <si>
    <t xml:space="preserve">Dereojo, Casimiro </t>
  </si>
  <si>
    <t xml:space="preserve">Moreno Blanco, Ángel </t>
  </si>
  <si>
    <t>MÁXIMO</t>
  </si>
  <si>
    <t>MÍNIMO</t>
  </si>
  <si>
    <t>Nombre</t>
  </si>
  <si>
    <t>Horas normales</t>
  </si>
  <si>
    <t>Horas extras</t>
  </si>
  <si>
    <t>Horas totales</t>
  </si>
  <si>
    <t>Incentivo</t>
  </si>
  <si>
    <t>Salario</t>
  </si>
  <si>
    <t>Vicente</t>
  </si>
  <si>
    <t>Miguel</t>
  </si>
  <si>
    <t>Juan</t>
  </si>
  <si>
    <t>María</t>
  </si>
  <si>
    <t>Amparo</t>
  </si>
  <si>
    <t>David</t>
  </si>
  <si>
    <t>Elegir bien el gráfico ayuda a analizar datos en un vistazo rápido</t>
  </si>
  <si>
    <t>Minigráfico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</si>
</sst>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44" fontId="4" fillId="0" borderId="1" xfId="1" applyFont="1" applyBorder="1" applyAlignment="1">
      <alignment horizontal="right"/>
    </xf>
    <xf numFmtId="0" fontId="4" fillId="0" borderId="2" xfId="0" applyFont="1" applyBorder="1"/>
    <xf numFmtId="9" fontId="4" fillId="0" borderId="1" xfId="0" applyNumberFormat="1" applyFont="1" applyBorder="1" applyAlignment="1">
      <alignment horizontal="right"/>
    </xf>
    <xf numFmtId="0" fontId="4" fillId="0" borderId="3" xfId="0" applyFont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1" xfId="0" applyFont="1" applyBorder="1"/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44" fontId="4" fillId="0" borderId="9" xfId="1" applyFont="1" applyBorder="1" applyAlignment="1">
      <alignment horizontal="right" vertical="center"/>
    </xf>
    <xf numFmtId="44" fontId="4" fillId="0" borderId="10" xfId="1" applyFont="1" applyBorder="1" applyAlignment="1">
      <alignment horizontal="right" vertical="center"/>
    </xf>
    <xf numFmtId="0" fontId="7" fillId="3" borderId="11" xfId="0" applyFont="1" applyFill="1" applyBorder="1" applyAlignment="1">
      <alignment vertical="center"/>
    </xf>
    <xf numFmtId="0" fontId="8" fillId="0" borderId="12" xfId="0" applyFont="1" applyBorder="1" applyAlignment="1">
      <alignment horizontal="right" vertical="center"/>
    </xf>
    <xf numFmtId="44" fontId="4" fillId="0" borderId="12" xfId="1" applyFont="1" applyBorder="1" applyAlignment="1">
      <alignment horizontal="right" vertical="center"/>
    </xf>
    <xf numFmtId="44" fontId="4" fillId="0" borderId="13" xfId="1" applyFont="1" applyBorder="1" applyAlignment="1">
      <alignment horizontal="right" vertical="center"/>
    </xf>
    <xf numFmtId="0" fontId="7" fillId="3" borderId="14" xfId="0" applyFont="1" applyFill="1" applyBorder="1" applyAlignment="1">
      <alignment vertical="center"/>
    </xf>
    <xf numFmtId="0" fontId="8" fillId="0" borderId="15" xfId="0" applyFont="1" applyBorder="1" applyAlignment="1">
      <alignment horizontal="right" vertical="center"/>
    </xf>
    <xf numFmtId="44" fontId="4" fillId="0" borderId="15" xfId="1" applyFont="1" applyBorder="1" applyAlignment="1">
      <alignment horizontal="right" vertical="center"/>
    </xf>
    <xf numFmtId="44" fontId="4" fillId="0" borderId="16" xfId="1" applyFont="1" applyBorder="1" applyAlignment="1">
      <alignment horizontal="right" vertical="center"/>
    </xf>
    <xf numFmtId="0" fontId="6" fillId="2" borderId="17" xfId="0" applyFont="1" applyFill="1" applyBorder="1" applyAlignment="1">
      <alignment horizontal="right" vertical="center"/>
    </xf>
    <xf numFmtId="0" fontId="8" fillId="0" borderId="18" xfId="0" applyFont="1" applyBorder="1" applyAlignment="1">
      <alignment vertical="center"/>
    </xf>
    <xf numFmtId="44" fontId="4" fillId="0" borderId="18" xfId="1" applyFont="1" applyBorder="1" applyAlignment="1">
      <alignment horizontal="right" vertical="center"/>
    </xf>
    <xf numFmtId="44" fontId="4" fillId="0" borderId="19" xfId="1" applyFont="1" applyBorder="1" applyAlignment="1">
      <alignment horizontal="right" vertical="center"/>
    </xf>
    <xf numFmtId="0" fontId="7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3" borderId="21" xfId="0" applyFont="1" applyFill="1" applyBorder="1" applyAlignment="1">
      <alignment vertical="center"/>
    </xf>
    <xf numFmtId="6" fontId="8" fillId="0" borderId="22" xfId="0" applyNumberFormat="1" applyFont="1" applyBorder="1" applyAlignment="1">
      <alignment horizontal="right" vertical="center"/>
    </xf>
    <xf numFmtId="9" fontId="8" fillId="0" borderId="13" xfId="0" applyNumberFormat="1" applyFont="1" applyBorder="1" applyAlignment="1">
      <alignment horizontal="right" vertical="center"/>
    </xf>
    <xf numFmtId="9" fontId="8" fillId="0" borderId="16" xfId="0" applyNumberFormat="1" applyFont="1" applyBorder="1" applyAlignment="1">
      <alignment horizontal="right" vertical="center"/>
    </xf>
    <xf numFmtId="6" fontId="0" fillId="0" borderId="0" xfId="0" applyNumberFormat="1"/>
    <xf numFmtId="0" fontId="9" fillId="0" borderId="0" xfId="0" applyFont="1"/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9" fillId="0" borderId="26" xfId="0" applyFont="1" applyBorder="1"/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/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37" xfId="0" applyFont="1" applyBorder="1"/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11" fillId="0" borderId="26" xfId="0" applyFont="1" applyBorder="1" applyAlignment="1">
      <alignment horizontal="right"/>
    </xf>
    <xf numFmtId="0" fontId="9" fillId="4" borderId="44" xfId="0" applyFont="1" applyFill="1" applyBorder="1" applyAlignment="1">
      <alignment horizontal="center"/>
    </xf>
    <xf numFmtId="0" fontId="11" fillId="0" borderId="33" xfId="0" applyFont="1" applyBorder="1" applyAlignment="1">
      <alignment horizontal="right"/>
    </xf>
    <xf numFmtId="0" fontId="9" fillId="0" borderId="0" xfId="0" applyFont="1" applyBorder="1"/>
    <xf numFmtId="0" fontId="11" fillId="0" borderId="45" xfId="0" applyFont="1" applyBorder="1" applyAlignment="1">
      <alignment horizontal="right"/>
    </xf>
    <xf numFmtId="0" fontId="2" fillId="4" borderId="46" xfId="0" applyFont="1" applyFill="1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left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left"/>
    </xf>
    <xf numFmtId="0" fontId="0" fillId="0" borderId="49" xfId="0" applyBorder="1" applyAlignment="1">
      <alignment horizontal="center"/>
    </xf>
    <xf numFmtId="0" fontId="3" fillId="0" borderId="50" xfId="0" applyFont="1" applyBorder="1" applyAlignment="1">
      <alignment horizontal="right"/>
    </xf>
    <xf numFmtId="0" fontId="0" fillId="0" borderId="50" xfId="0" applyBorder="1" applyAlignment="1">
      <alignment horizontal="center"/>
    </xf>
    <xf numFmtId="0" fontId="3" fillId="0" borderId="48" xfId="0" applyFont="1" applyBorder="1" applyAlignment="1">
      <alignment horizontal="right"/>
    </xf>
    <xf numFmtId="0" fontId="3" fillId="0" borderId="51" xfId="0" applyFont="1" applyBorder="1" applyAlignment="1">
      <alignment horizontal="right"/>
    </xf>
    <xf numFmtId="2" fontId="0" fillId="0" borderId="51" xfId="0" applyNumberFormat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9" fillId="0" borderId="45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4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Total</a:t>
            </a:r>
            <a:r>
              <a:rPr lang="es-ES" baseline="0"/>
              <a:t> Comisiones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'Ejercicio 1'!$B$1:$F$1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'Ejercicio 1'!$B$3:$F$3</c:f>
              <c:numCache>
                <c:formatCode>_-* #,##0.00\ [$€-C0A]_-;\-* #,##0.00\ [$€-C0A]_-;_-* "-"??\ [$€-C0A]_-;_-@_-</c:formatCode>
                <c:ptCount val="5"/>
                <c:pt idx="0">
                  <c:v>170</c:v>
                </c:pt>
                <c:pt idx="1">
                  <c:v>190</c:v>
                </c:pt>
                <c:pt idx="2">
                  <c:v>210</c:v>
                </c:pt>
                <c:pt idx="3">
                  <c:v>235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7-42DD-8870-FE7CC8AEA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97248"/>
        <c:axId val="602330896"/>
      </c:areaChart>
      <c:catAx>
        <c:axId val="55669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330896"/>
        <c:crosses val="autoZero"/>
        <c:auto val="1"/>
        <c:lblAlgn val="ctr"/>
        <c:lblOffset val="100"/>
        <c:noMultiLvlLbl val="0"/>
      </c:catAx>
      <c:valAx>
        <c:axId val="60233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669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1'!$A$2</c:f>
              <c:strCache>
                <c:ptCount val="1"/>
                <c:pt idx="0">
                  <c:v>Total 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'Ejercicio 1'!$B$1:$F$1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'Ejercicio 1'!$B$2:$F$2</c:f>
              <c:numCache>
                <c:formatCode>_-* #,##0.00\ [$€-C0A]_-;\-* #,##0.00\ [$€-C0A]_-;_-* "-"??\ [$€-C0A]_-;_-@_-</c:formatCode>
                <c:ptCount val="5"/>
                <c:pt idx="0">
                  <c:v>3400</c:v>
                </c:pt>
                <c:pt idx="1">
                  <c:v>3800</c:v>
                </c:pt>
                <c:pt idx="2">
                  <c:v>4200</c:v>
                </c:pt>
                <c:pt idx="3">
                  <c:v>4700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3-4EE3-BB62-55D0DC1E7ABC}"/>
            </c:ext>
          </c:extLst>
        </c:ser>
        <c:ser>
          <c:idx val="1"/>
          <c:order val="1"/>
          <c:tx>
            <c:strRef>
              <c:f>'Ejercicio 1'!$A$3</c:f>
              <c:strCache>
                <c:ptCount val="1"/>
                <c:pt idx="0">
                  <c:v>Total Comisiones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'Ejercicio 1'!$B$1:$F$1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'Ejercicio 1'!$B$3:$F$3</c:f>
              <c:numCache>
                <c:formatCode>_-* #,##0.00\ [$€-C0A]_-;\-* #,##0.00\ [$€-C0A]_-;_-* "-"??\ [$€-C0A]_-;_-@_-</c:formatCode>
                <c:ptCount val="5"/>
                <c:pt idx="0">
                  <c:v>170</c:v>
                </c:pt>
                <c:pt idx="1">
                  <c:v>190</c:v>
                </c:pt>
                <c:pt idx="2">
                  <c:v>210</c:v>
                </c:pt>
                <c:pt idx="3">
                  <c:v>235</c:v>
                </c:pt>
                <c:pt idx="4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3-4EE3-BB62-55D0DC1E7ABC}"/>
            </c:ext>
          </c:extLst>
        </c:ser>
        <c:ser>
          <c:idx val="2"/>
          <c:order val="2"/>
          <c:tx>
            <c:strRef>
              <c:f>'Ejercicio 1'!$A$4</c:f>
              <c:strCache>
                <c:ptCount val="1"/>
                <c:pt idx="0">
                  <c:v>Total Impuestos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'Ejercicio 1'!$B$1:$F$1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'Ejercicio 1'!$B$4:$F$4</c:f>
              <c:numCache>
                <c:formatCode>_-* #,##0.00\ [$€-C0A]_-;\-* #,##0.00\ [$€-C0A]_-;_-* "-"??\ [$€-C0A]_-;_-@_-</c:formatCode>
                <c:ptCount val="5"/>
                <c:pt idx="0">
                  <c:v>510</c:v>
                </c:pt>
                <c:pt idx="1">
                  <c:v>570</c:v>
                </c:pt>
                <c:pt idx="2">
                  <c:v>630</c:v>
                </c:pt>
                <c:pt idx="3">
                  <c:v>705</c:v>
                </c:pt>
                <c:pt idx="4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3-4EE3-BB62-55D0DC1E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728448"/>
        <c:axId val="602270208"/>
      </c:lineChart>
      <c:catAx>
        <c:axId val="55672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270208"/>
        <c:crosses val="autoZero"/>
        <c:auto val="1"/>
        <c:lblAlgn val="ctr"/>
        <c:lblOffset val="100"/>
        <c:noMultiLvlLbl val="0"/>
      </c:catAx>
      <c:valAx>
        <c:axId val="6022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672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Total</a:t>
            </a:r>
            <a:r>
              <a:rPr lang="es-ES" baseline="0"/>
              <a:t> Impuestos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'Ejercicio 1'!$B$1:$F$1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'Ejercicio 1'!$B$4:$F$4</c:f>
              <c:numCache>
                <c:formatCode>_-* #,##0.00\ [$€-C0A]_-;\-* #,##0.00\ [$€-C0A]_-;_-* "-"??\ [$€-C0A]_-;_-@_-</c:formatCode>
                <c:ptCount val="5"/>
                <c:pt idx="0">
                  <c:v>510</c:v>
                </c:pt>
                <c:pt idx="1">
                  <c:v>570</c:v>
                </c:pt>
                <c:pt idx="2">
                  <c:v>630</c:v>
                </c:pt>
                <c:pt idx="3">
                  <c:v>705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C-4948-A616-05686250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Nº</a:t>
            </a:r>
            <a:r>
              <a:rPr lang="es-ES" baseline="0"/>
              <a:t> de cada curso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2'!$D$3:$D$6</c:f>
              <c:numCache>
                <c:formatCode>General</c:formatCode>
                <c:ptCount val="4"/>
                <c:pt idx="0">
                  <c:v>80</c:v>
                </c:pt>
                <c:pt idx="1">
                  <c:v>100</c:v>
                </c:pt>
                <c:pt idx="2">
                  <c:v>300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B-431B-AFB4-E4566663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758416"/>
        <c:axId val="554844464"/>
        <c:axId val="0"/>
      </c:bar3DChart>
      <c:catAx>
        <c:axId val="6727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4844464"/>
        <c:crosses val="autoZero"/>
        <c:auto val="1"/>
        <c:lblAlgn val="ctr"/>
        <c:lblOffset val="100"/>
        <c:noMultiLvlLbl val="0"/>
      </c:catAx>
      <c:valAx>
        <c:axId val="5548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275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Gasto</a:t>
            </a:r>
            <a:r>
              <a:rPr lang="es-ES" baseline="0"/>
              <a:t> del profesorado de cada uno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2'!$H$3:$H$6</c:f>
              <c:numCache>
                <c:formatCode>_("€"* #,##0.00_);_("€"* \(#,##0.00\);_("€"* "-"??_);_(@_)</c:formatCode>
                <c:ptCount val="4"/>
                <c:pt idx="0">
                  <c:v>3240</c:v>
                </c:pt>
                <c:pt idx="1">
                  <c:v>3375</c:v>
                </c:pt>
                <c:pt idx="2">
                  <c:v>8775</c:v>
                </c:pt>
                <c:pt idx="3">
                  <c:v>1687.5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B-41C6-8D66-79DF0CEFB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016640"/>
        <c:axId val="55676041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2'!$I$3:$I$6</c:f>
              <c:numCache>
                <c:formatCode>_("€"* #,##0.00_);_("€"* \(#,##0.00\);_("€"* "-"??_);_(@_)</c:formatCode>
                <c:ptCount val="4"/>
                <c:pt idx="0">
                  <c:v>1800</c:v>
                </c:pt>
                <c:pt idx="1">
                  <c:v>1875</c:v>
                </c:pt>
                <c:pt idx="2">
                  <c:v>4875</c:v>
                </c:pt>
                <c:pt idx="3">
                  <c:v>937.5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B-41C6-8D66-79DF0CEFB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016640"/>
        <c:axId val="556760416"/>
      </c:lineChart>
      <c:catAx>
        <c:axId val="7270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6760416"/>
        <c:crosses val="autoZero"/>
        <c:auto val="1"/>
        <c:lblAlgn val="ctr"/>
        <c:lblOffset val="100"/>
        <c:noMultiLvlLbl val="0"/>
      </c:catAx>
      <c:valAx>
        <c:axId val="5567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701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Gasto</a:t>
            </a:r>
            <a:r>
              <a:rPr lang="es-ES" baseline="0"/>
              <a:t> e Inversión de los cursos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'Ejercicio 2'!$E$2</c:f>
              <c:strCache>
                <c:ptCount val="1"/>
                <c:pt idx="0">
                  <c:v>SUBVENCIÓN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2'!$E$3:$E$6</c:f>
              <c:numCache>
                <c:formatCode>_("€"* #,##0.00_);_("€"* \(#,##0.00\);_("€"* "-"??_);_(@_)</c:formatCode>
                <c:ptCount val="4"/>
                <c:pt idx="0">
                  <c:v>7200</c:v>
                </c:pt>
                <c:pt idx="1">
                  <c:v>7500</c:v>
                </c:pt>
                <c:pt idx="2">
                  <c:v>19500</c:v>
                </c:pt>
                <c:pt idx="3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8-4BF7-89D2-367D5080E0CE}"/>
            </c:ext>
          </c:extLst>
        </c:ser>
        <c:ser>
          <c:idx val="1"/>
          <c:order val="1"/>
          <c:tx>
            <c:strRef>
              <c:f>'Ejercicio 2'!$F$2</c:f>
              <c:strCache>
                <c:ptCount val="1"/>
                <c:pt idx="0">
                  <c:v>ADMINISTRACIÓN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2'!$F$3:$F$6</c:f>
              <c:numCache>
                <c:formatCode>_("€"* #,##0.00_);_("€"* \(#,##0.00\);_("€"* "-"??_);_(@_)</c:formatCode>
                <c:ptCount val="4"/>
                <c:pt idx="0">
                  <c:v>1440</c:v>
                </c:pt>
                <c:pt idx="1">
                  <c:v>1500</c:v>
                </c:pt>
                <c:pt idx="2">
                  <c:v>3900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8-4BF7-89D2-367D5080E0CE}"/>
            </c:ext>
          </c:extLst>
        </c:ser>
        <c:ser>
          <c:idx val="2"/>
          <c:order val="2"/>
          <c:tx>
            <c:strRef>
              <c:f>'Ejercicio 2'!$G$2</c:f>
              <c:strCache>
                <c:ptCount val="1"/>
                <c:pt idx="0">
                  <c:v>INSTALACIONES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2'!$G$3:$G$6</c:f>
              <c:numCache>
                <c:formatCode>_("€"* #,##0.00_);_("€"* \(#,##0.00\);_("€"* "-"??_);_(@_)</c:formatCode>
                <c:ptCount val="4"/>
                <c:pt idx="0">
                  <c:v>720</c:v>
                </c:pt>
                <c:pt idx="1">
                  <c:v>750</c:v>
                </c:pt>
                <c:pt idx="2">
                  <c:v>1950</c:v>
                </c:pt>
                <c:pt idx="3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8-4BF7-89D2-367D5080E0CE}"/>
            </c:ext>
          </c:extLst>
        </c:ser>
        <c:ser>
          <c:idx val="3"/>
          <c:order val="3"/>
          <c:tx>
            <c:strRef>
              <c:f>'Ejercicio 2'!$H$2</c:f>
              <c:strCache>
                <c:ptCount val="1"/>
                <c:pt idx="0">
                  <c:v>PROFESORADO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2'!$H$3:$H$6</c:f>
              <c:numCache>
                <c:formatCode>_("€"* #,##0.00_);_("€"* \(#,##0.00\);_("€"* "-"??_);_(@_)</c:formatCode>
                <c:ptCount val="4"/>
                <c:pt idx="0">
                  <c:v>3240</c:v>
                </c:pt>
                <c:pt idx="1">
                  <c:v>3375</c:v>
                </c:pt>
                <c:pt idx="2">
                  <c:v>8775</c:v>
                </c:pt>
                <c:pt idx="3">
                  <c:v>1687.5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F8-4BF7-89D2-367D5080E0CE}"/>
            </c:ext>
          </c:extLst>
        </c:ser>
        <c:ser>
          <c:idx val="4"/>
          <c:order val="4"/>
          <c:tx>
            <c:strRef>
              <c:f>'Ejercicio 2'!$I$2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'Ejercicio 2'!$B$3:$B$6</c:f>
              <c:strCache>
                <c:ptCount val="4"/>
                <c:pt idx="0">
                  <c:v>OFIMÁTICA AVANZADA</c:v>
                </c:pt>
                <c:pt idx="1">
                  <c:v>OFIMÁTICA INICIAL</c:v>
                </c:pt>
                <c:pt idx="2">
                  <c:v>DISEÑO GRÁFICO</c:v>
                </c:pt>
                <c:pt idx="3">
                  <c:v>COMERCIO ELECTRÓNICO</c:v>
                </c:pt>
              </c:strCache>
            </c:strRef>
          </c:cat>
          <c:val>
            <c:numRef>
              <c:f>'Ejercicio 2'!$I$3:$I$6</c:f>
              <c:numCache>
                <c:formatCode>_("€"* #,##0.00_);_("€"* \(#,##0.00\);_("€"* "-"??_);_(@_)</c:formatCode>
                <c:ptCount val="4"/>
                <c:pt idx="0">
                  <c:v>1800</c:v>
                </c:pt>
                <c:pt idx="1">
                  <c:v>1875</c:v>
                </c:pt>
                <c:pt idx="2">
                  <c:v>4875</c:v>
                </c:pt>
                <c:pt idx="3">
                  <c:v>937.5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F8-4BF7-89D2-367D5080E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0906624"/>
        <c:axId val="791108848"/>
      </c:barChart>
      <c:catAx>
        <c:axId val="72090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1108848"/>
        <c:crosses val="autoZero"/>
        <c:auto val="1"/>
        <c:lblAlgn val="ctr"/>
        <c:lblOffset val="100"/>
        <c:noMultiLvlLbl val="0"/>
      </c:catAx>
      <c:valAx>
        <c:axId val="7911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090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Horas</a:t>
            </a:r>
            <a:r>
              <a:rPr lang="es-ES" baseline="0"/>
              <a:t> trabajadas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'Ejercicio 4'!$C$2</c:f>
              <c:strCache>
                <c:ptCount val="1"/>
                <c:pt idx="0">
                  <c:v>Horas normales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'Ejercicio 4'!$B$3:$B$8</c:f>
              <c:strCache>
                <c:ptCount val="6"/>
                <c:pt idx="0">
                  <c:v>Vicente</c:v>
                </c:pt>
                <c:pt idx="1">
                  <c:v>Miguel</c:v>
                </c:pt>
                <c:pt idx="2">
                  <c:v>Juan</c:v>
                </c:pt>
                <c:pt idx="3">
                  <c:v>María</c:v>
                </c:pt>
                <c:pt idx="4">
                  <c:v>Amparo</c:v>
                </c:pt>
                <c:pt idx="5">
                  <c:v>David</c:v>
                </c:pt>
              </c:strCache>
            </c:strRef>
          </c:cat>
          <c:val>
            <c:numRef>
              <c:f>'Ejercicio 4'!$C$3:$C$8</c:f>
              <c:numCache>
                <c:formatCode>General</c:formatCode>
                <c:ptCount val="6"/>
                <c:pt idx="0">
                  <c:v>160</c:v>
                </c:pt>
                <c:pt idx="1">
                  <c:v>155</c:v>
                </c:pt>
                <c:pt idx="2">
                  <c:v>146</c:v>
                </c:pt>
                <c:pt idx="3">
                  <c:v>158</c:v>
                </c:pt>
                <c:pt idx="4">
                  <c:v>149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E-4070-ABEC-804F8CE371DA}"/>
            </c:ext>
          </c:extLst>
        </c:ser>
        <c:ser>
          <c:idx val="1"/>
          <c:order val="1"/>
          <c:tx>
            <c:v>Horas extras</c:v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val>
            <c:numRef>
              <c:f>'Ejercicio 4'!$D$3:$D$8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FE-4070-ABEC-804F8CE3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827424"/>
        <c:axId val="679638272"/>
        <c:axId val="0"/>
      </c:area3DChart>
      <c:catAx>
        <c:axId val="72482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638272"/>
        <c:crosses val="autoZero"/>
        <c:auto val="1"/>
        <c:lblAlgn val="ctr"/>
        <c:lblOffset val="100"/>
        <c:noMultiLvlLbl val="0"/>
      </c:catAx>
      <c:valAx>
        <c:axId val="6796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482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21</xdr:row>
      <xdr:rowOff>109537</xdr:rowOff>
    </xdr:from>
    <xdr:to>
      <xdr:col>5</xdr:col>
      <xdr:colOff>781050</xdr:colOff>
      <xdr:row>35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652A87-AA1B-489D-959D-43D0F6DFD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209550</xdr:colOff>
      <xdr:row>1</xdr:row>
      <xdr:rowOff>128587</xdr:rowOff>
    </xdr:from>
    <xdr:to>
      <xdr:col>14</xdr:col>
      <xdr:colOff>209550</xdr:colOff>
      <xdr:row>15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7EAA07-FD2C-45C4-B947-35C350DA5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423862</xdr:colOff>
      <xdr:row>21</xdr:row>
      <xdr:rowOff>61912</xdr:rowOff>
    </xdr:from>
    <xdr:to>
      <xdr:col>12</xdr:col>
      <xdr:colOff>223837</xdr:colOff>
      <xdr:row>35</xdr:row>
      <xdr:rowOff>138112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106E9B-CD96-4480-914F-0836DB32C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842962</xdr:colOff>
      <xdr:row>14</xdr:row>
      <xdr:rowOff>42862</xdr:rowOff>
    </xdr:from>
    <xdr:to>
      <xdr:col>12</xdr:col>
      <xdr:colOff>538162</xdr:colOff>
      <xdr:row>28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AA5903-06AB-4C2B-8D2C-72F875203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176212</xdr:colOff>
      <xdr:row>15</xdr:row>
      <xdr:rowOff>4762</xdr:rowOff>
    </xdr:from>
    <xdr:to>
      <xdr:col>6</xdr:col>
      <xdr:colOff>404812</xdr:colOff>
      <xdr:row>29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5B71EF8-DC02-411F-AEB9-DE2B4E3F3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376237</xdr:colOff>
      <xdr:row>0</xdr:row>
      <xdr:rowOff>80962</xdr:rowOff>
    </xdr:from>
    <xdr:to>
      <xdr:col>15</xdr:col>
      <xdr:colOff>376237</xdr:colOff>
      <xdr:row>13</xdr:row>
      <xdr:rowOff>157162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B1F45B1-EC34-46D9-A5C9-42267914D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16</xdr:row>
      <xdr:rowOff>66675</xdr:rowOff>
    </xdr:from>
    <xdr:to>
      <xdr:col>5</xdr:col>
      <xdr:colOff>847725</xdr:colOff>
      <xdr:row>30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775383-2155-408A-8397-28FC810CE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JAMAR\SMR\1&#186;\Aplicaciones%20Ofim&#225;ticas\CURSO%202016_2017\PR&#193;CTICAS\EXCEL\Ejercicios_complejos\01%20soluci&#243;n%2020%20ejercicios%20b&#225;sicos%20de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 1"/>
      <sheetName val="Ejercicio 2"/>
      <sheetName val="Ejercicio 3"/>
      <sheetName val="Ejercicio 4"/>
      <sheetName val="Ejercicio 5"/>
      <sheetName val="Ejercicio 6"/>
      <sheetName val="Ejercicio 7"/>
      <sheetName val="Ejercicio 8"/>
      <sheetName val="Ejercicio 9A"/>
      <sheetName val="Ejercicio 9B"/>
      <sheetName val="Ejercicio 10"/>
      <sheetName val="Ejercicio 11A"/>
      <sheetName val="Ejercicio 11B"/>
      <sheetName val="Ejercicio 11C"/>
      <sheetName val="Ejercicio 12A"/>
      <sheetName val="Ejercicio 12B"/>
      <sheetName val="Ejercicio 12C"/>
      <sheetName val="Ejercicio 13A"/>
      <sheetName val="Ejercicio 13B"/>
      <sheetName val="Ejercicio 14"/>
      <sheetName val="Ejercicio 15"/>
      <sheetName val="Ejercicio 16"/>
      <sheetName val="Ejercicio 17"/>
      <sheetName val="Ejercicio 18"/>
      <sheetName val="Ejercicio 19"/>
      <sheetName val="Ejercicio 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A5" t="str">
            <v>Código</v>
          </cell>
          <cell r="B5" t="str">
            <v>Tipo</v>
          </cell>
          <cell r="C5" t="str">
            <v>Desc.</v>
          </cell>
        </row>
        <row r="6">
          <cell r="A6">
            <v>1</v>
          </cell>
          <cell r="B6" t="str">
            <v>Normal</v>
          </cell>
          <cell r="C6">
            <v>0</v>
          </cell>
        </row>
        <row r="7">
          <cell r="A7">
            <v>2</v>
          </cell>
          <cell r="B7" t="str">
            <v>Empresa</v>
          </cell>
          <cell r="C7">
            <v>0.1</v>
          </cell>
        </row>
        <row r="8">
          <cell r="A8">
            <v>3</v>
          </cell>
          <cell r="B8" t="str">
            <v>Fin de semana</v>
          </cell>
          <cell r="C8">
            <v>0.2</v>
          </cell>
        </row>
      </sheetData>
      <sheetData sheetId="24">
        <row r="3">
          <cell r="A3" t="str">
            <v>DESCUENTOS</v>
          </cell>
        </row>
        <row r="4">
          <cell r="A4">
            <v>1</v>
          </cell>
          <cell r="B4">
            <v>0.1</v>
          </cell>
        </row>
        <row r="5">
          <cell r="A5">
            <v>2</v>
          </cell>
          <cell r="B5">
            <v>0.15</v>
          </cell>
        </row>
        <row r="6">
          <cell r="A6">
            <v>3</v>
          </cell>
          <cell r="B6">
            <v>0.2</v>
          </cell>
        </row>
        <row r="24">
          <cell r="A24" t="str">
            <v>Código</v>
          </cell>
          <cell r="B24" t="str">
            <v>Titulo</v>
          </cell>
          <cell r="C24" t="str">
            <v>Genero</v>
          </cell>
          <cell r="D24" t="str">
            <v>Precio</v>
          </cell>
        </row>
        <row r="25">
          <cell r="A25">
            <v>300</v>
          </cell>
          <cell r="B25" t="str">
            <v>El rey León</v>
          </cell>
          <cell r="C25" t="str">
            <v>Infantil</v>
          </cell>
          <cell r="D25">
            <v>3</v>
          </cell>
        </row>
        <row r="26">
          <cell r="A26">
            <v>301</v>
          </cell>
          <cell r="B26" t="str">
            <v>Gladiator</v>
          </cell>
          <cell r="C26" t="str">
            <v>Acción</v>
          </cell>
          <cell r="D26">
            <v>1.8</v>
          </cell>
        </row>
        <row r="27">
          <cell r="A27">
            <v>302</v>
          </cell>
          <cell r="B27" t="str">
            <v>American Beauty</v>
          </cell>
          <cell r="C27" t="str">
            <v>Comedia</v>
          </cell>
          <cell r="D27">
            <v>1.2</v>
          </cell>
        </row>
        <row r="28">
          <cell r="A28">
            <v>303</v>
          </cell>
          <cell r="B28" t="str">
            <v>Las cenizas de Angela</v>
          </cell>
          <cell r="C28" t="str">
            <v>Drama</v>
          </cell>
          <cell r="D28">
            <v>1.8</v>
          </cell>
        </row>
        <row r="29">
          <cell r="A29">
            <v>304</v>
          </cell>
          <cell r="B29" t="str">
            <v>El fin de los días</v>
          </cell>
          <cell r="C29" t="str">
            <v>Ciencia Ficción</v>
          </cell>
          <cell r="D29">
            <v>1.5</v>
          </cell>
        </row>
        <row r="30">
          <cell r="A30">
            <v>305</v>
          </cell>
          <cell r="B30" t="str">
            <v>Desafio total</v>
          </cell>
          <cell r="C30" t="str">
            <v>Ciencia Ficción</v>
          </cell>
          <cell r="D30">
            <v>2.1</v>
          </cell>
        </row>
        <row r="31">
          <cell r="A31">
            <v>306</v>
          </cell>
          <cell r="B31" t="str">
            <v>La sirenita 2</v>
          </cell>
          <cell r="C31" t="str">
            <v>Infantil</v>
          </cell>
          <cell r="D31">
            <v>1.2</v>
          </cell>
        </row>
        <row r="32">
          <cell r="A32">
            <v>307</v>
          </cell>
          <cell r="B32" t="str">
            <v>Lo que el viento se llevó</v>
          </cell>
          <cell r="C32" t="str">
            <v>Clásicos</v>
          </cell>
          <cell r="D32">
            <v>3</v>
          </cell>
        </row>
        <row r="33">
          <cell r="A33">
            <v>308</v>
          </cell>
          <cell r="B33" t="str">
            <v>Casblanca</v>
          </cell>
          <cell r="C33" t="str">
            <v>Clásicos</v>
          </cell>
          <cell r="D33">
            <v>3.6</v>
          </cell>
        </row>
        <row r="34">
          <cell r="A34">
            <v>309</v>
          </cell>
          <cell r="B34" t="str">
            <v>Hormigaz</v>
          </cell>
          <cell r="C34" t="str">
            <v>Infantil</v>
          </cell>
          <cell r="D34">
            <v>3.6</v>
          </cell>
        </row>
        <row r="35">
          <cell r="A35">
            <v>310</v>
          </cell>
          <cell r="B35" t="str">
            <v>South Park</v>
          </cell>
          <cell r="C35" t="str">
            <v>Comedia</v>
          </cell>
          <cell r="D35">
            <v>3</v>
          </cell>
        </row>
        <row r="36">
          <cell r="A36">
            <v>311</v>
          </cell>
          <cell r="B36" t="str">
            <v>Anaconda</v>
          </cell>
          <cell r="C36" t="str">
            <v>Terror</v>
          </cell>
          <cell r="D36">
            <v>1.8</v>
          </cell>
        </row>
        <row r="37">
          <cell r="A37">
            <v>312</v>
          </cell>
          <cell r="B37" t="str">
            <v>Batman</v>
          </cell>
          <cell r="C37" t="str">
            <v>Ciencia ficción</v>
          </cell>
          <cell r="D37">
            <v>1.8</v>
          </cell>
        </row>
        <row r="38">
          <cell r="A38">
            <v>313</v>
          </cell>
          <cell r="B38" t="str">
            <v>Solas</v>
          </cell>
          <cell r="C38" t="str">
            <v>Drama</v>
          </cell>
          <cell r="D38">
            <v>1.8</v>
          </cell>
        </row>
      </sheetData>
      <sheetData sheetId="2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opLeftCell="A46" zoomScale="85" zoomScaleNormal="85" workbookViewId="0">
      <selection activeCell="Q30" sqref="Q30"/>
    </sheetView>
  </sheetViews>
  <sheetFormatPr baseColWidth="10" defaultRowHeight="15" x14ac:dyDescent="0.25"/>
  <cols>
    <col min="1" max="1" width="17.42578125" bestFit="1" customWidth="1"/>
    <col min="2" max="6" width="12.140625" bestFit="1" customWidth="1"/>
    <col min="7" max="7" width="14.42578125" customWidth="1"/>
  </cols>
  <sheetData>
    <row r="1" spans="1:7" ht="15.75" thickBot="1" x14ac:dyDescent="0.3">
      <c r="A1" s="9"/>
      <c r="B1" s="8" t="s">
        <v>12</v>
      </c>
      <c r="C1" s="8" t="s">
        <v>11</v>
      </c>
      <c r="D1" s="8" t="s">
        <v>10</v>
      </c>
      <c r="E1" s="8" t="s">
        <v>9</v>
      </c>
      <c r="F1" s="8" t="s">
        <v>8</v>
      </c>
      <c r="G1" s="8" t="s">
        <v>7</v>
      </c>
    </row>
    <row r="2" spans="1:7" ht="15.75" thickBot="1" x14ac:dyDescent="0.3">
      <c r="A2" s="3" t="s">
        <v>6</v>
      </c>
      <c r="B2" s="7">
        <v>3400</v>
      </c>
      <c r="C2" s="7">
        <v>3800</v>
      </c>
      <c r="D2" s="7">
        <v>4200</v>
      </c>
      <c r="E2" s="7">
        <v>4700</v>
      </c>
      <c r="F2" s="7">
        <v>5000</v>
      </c>
      <c r="G2" s="6">
        <f>SUM(B2:F2)</f>
        <v>21100</v>
      </c>
    </row>
    <row r="3" spans="1:7" ht="15.75" thickBot="1" x14ac:dyDescent="0.3">
      <c r="A3" s="3" t="s">
        <v>5</v>
      </c>
      <c r="B3" s="6">
        <f>+B2*$B$8</f>
        <v>170</v>
      </c>
      <c r="C3" s="6">
        <f>+C2*$B$8</f>
        <v>190</v>
      </c>
      <c r="D3" s="6">
        <f>+D2*$B$8</f>
        <v>210</v>
      </c>
      <c r="E3" s="6">
        <f>+E2*$B$8</f>
        <v>235</v>
      </c>
      <c r="F3" s="6">
        <f>+F2*$B$8</f>
        <v>250</v>
      </c>
      <c r="G3" s="6">
        <f>SUM(B3:F3)</f>
        <v>1055</v>
      </c>
    </row>
    <row r="4" spans="1:7" ht="15.75" thickBot="1" x14ac:dyDescent="0.3">
      <c r="A4" s="3" t="s">
        <v>4</v>
      </c>
      <c r="B4" s="6">
        <f>+B2*$B$9</f>
        <v>510</v>
      </c>
      <c r="C4" s="6">
        <f>+C2*$B$9</f>
        <v>570</v>
      </c>
      <c r="D4" s="6">
        <f>+D2*$B$9</f>
        <v>630</v>
      </c>
      <c r="E4" s="6">
        <f>+E2*$B$9</f>
        <v>705</v>
      </c>
      <c r="F4" s="6">
        <f>+F2*$B$9</f>
        <v>750</v>
      </c>
      <c r="G4" s="6">
        <f>SUM(B4:F4)</f>
        <v>3165</v>
      </c>
    </row>
    <row r="5" spans="1:7" ht="15.75" thickBot="1" x14ac:dyDescent="0.3">
      <c r="A5" s="3" t="s">
        <v>0</v>
      </c>
      <c r="B5" s="6">
        <f>+$B$10</f>
        <v>450</v>
      </c>
      <c r="C5" s="6">
        <f>+$B$10</f>
        <v>450</v>
      </c>
      <c r="D5" s="6">
        <f>+$B$10</f>
        <v>450</v>
      </c>
      <c r="E5" s="6">
        <f>+$B$10</f>
        <v>450</v>
      </c>
      <c r="F5" s="6">
        <f>+$B$10</f>
        <v>450</v>
      </c>
      <c r="G5" s="6">
        <f>SUM(B5:F5)</f>
        <v>2250</v>
      </c>
    </row>
    <row r="6" spans="1:7" ht="15.75" thickBot="1" x14ac:dyDescent="0.3">
      <c r="A6" s="3" t="s">
        <v>3</v>
      </c>
      <c r="B6" s="6">
        <f>+B2-B3-B4-B5</f>
        <v>2270</v>
      </c>
      <c r="C6" s="6">
        <f>+C2-C3-C4-C5</f>
        <v>2590</v>
      </c>
      <c r="D6" s="6">
        <f>+D2-D3-D4-D5</f>
        <v>2910</v>
      </c>
      <c r="E6" s="6">
        <f>+E2-E3-E4-E5</f>
        <v>3310</v>
      </c>
      <c r="F6" s="6">
        <f>+F2-F3-F4-F5</f>
        <v>3550</v>
      </c>
      <c r="G6" s="6">
        <f>SUM(B6:F6)</f>
        <v>14630</v>
      </c>
    </row>
    <row r="7" spans="1:7" ht="15.75" thickBot="1" x14ac:dyDescent="0.3">
      <c r="A7" s="5"/>
      <c r="B7" s="5"/>
      <c r="C7" s="1"/>
      <c r="D7" s="1"/>
      <c r="E7" s="1"/>
      <c r="F7" s="1"/>
      <c r="G7" s="1"/>
    </row>
    <row r="8" spans="1:7" ht="15.75" thickBot="1" x14ac:dyDescent="0.3">
      <c r="A8" s="3" t="s">
        <v>2</v>
      </c>
      <c r="B8" s="4">
        <v>0.05</v>
      </c>
      <c r="C8" s="1"/>
      <c r="D8" s="1"/>
      <c r="E8" s="1"/>
      <c r="F8" s="1"/>
      <c r="G8" s="1"/>
    </row>
    <row r="9" spans="1:7" ht="15.75" thickBot="1" x14ac:dyDescent="0.3">
      <c r="A9" s="3" t="s">
        <v>1</v>
      </c>
      <c r="B9" s="4">
        <v>0.15</v>
      </c>
      <c r="C9" s="1"/>
      <c r="D9" s="1"/>
      <c r="E9" s="1"/>
      <c r="F9" s="1"/>
      <c r="G9" s="1"/>
    </row>
    <row r="10" spans="1:7" ht="15.75" thickBot="1" x14ac:dyDescent="0.3">
      <c r="A10" s="3" t="s">
        <v>0</v>
      </c>
      <c r="B10" s="2">
        <v>450</v>
      </c>
      <c r="C10" s="1"/>
      <c r="D10" s="1"/>
      <c r="E10" s="1"/>
      <c r="F10" s="1"/>
      <c r="G10" s="1"/>
    </row>
    <row r="19" spans="2:12" ht="21" x14ac:dyDescent="0.25">
      <c r="B19" s="81" t="s">
        <v>59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</row>
  </sheetData>
  <mergeCells count="1">
    <mergeCell ref="B19:L19"/>
  </mergeCells>
  <conditionalFormatting sqref="B3:F3">
    <cfRule type="cellIs" dxfId="3" priority="3" operator="greaterThan">
      <formula>200</formula>
    </cfRule>
  </conditionalFormatting>
  <conditionalFormatting sqref="B4:F4">
    <cfRule type="cellIs" dxfId="2" priority="2" operator="greaterThan">
      <formula>700</formula>
    </cfRule>
  </conditionalFormatting>
  <conditionalFormatting sqref="B6:F6">
    <cfRule type="cellIs" dxfId="1" priority="1" operator="greaterThan">
      <formula>3000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4"/>
  <sheetViews>
    <sheetView workbookViewId="0">
      <selection activeCell="Q18" sqref="Q18"/>
    </sheetView>
  </sheetViews>
  <sheetFormatPr baseColWidth="10" defaultRowHeight="15" x14ac:dyDescent="0.25"/>
  <cols>
    <col min="2" max="2" width="22.42578125" bestFit="1" customWidth="1"/>
    <col min="3" max="3" width="8.7109375" bestFit="1" customWidth="1"/>
    <col min="4" max="4" width="6.28515625" bestFit="1" customWidth="1"/>
    <col min="5" max="5" width="13.28515625" bestFit="1" customWidth="1"/>
    <col min="6" max="6" width="14.42578125" bestFit="1" customWidth="1"/>
    <col min="7" max="7" width="13.42578125" bestFit="1" customWidth="1"/>
    <col min="8" max="8" width="13.28515625" bestFit="1" customWidth="1"/>
    <col min="9" max="9" width="12.140625" bestFit="1" customWidth="1"/>
  </cols>
  <sheetData>
    <row r="1" spans="2:9" ht="15.75" thickBot="1" x14ac:dyDescent="0.3"/>
    <row r="2" spans="2:9" ht="24" thickTop="1" thickBot="1" x14ac:dyDescent="0.3">
      <c r="B2" s="10"/>
      <c r="C2" s="11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3" t="s">
        <v>19</v>
      </c>
    </row>
    <row r="3" spans="2:9" x14ac:dyDescent="0.25">
      <c r="B3" s="14" t="s">
        <v>20</v>
      </c>
      <c r="C3" s="15">
        <v>18</v>
      </c>
      <c r="D3" s="15">
        <v>80</v>
      </c>
      <c r="E3" s="16">
        <f>+C3*D3*$C$9</f>
        <v>7200</v>
      </c>
      <c r="F3" s="16">
        <f>+E3*$C$10</f>
        <v>1440</v>
      </c>
      <c r="G3" s="16">
        <f>+E3*$C$11</f>
        <v>720</v>
      </c>
      <c r="H3" s="16">
        <f>+E3*$C$13</f>
        <v>3240</v>
      </c>
      <c r="I3" s="17">
        <f>+E3*$C$12</f>
        <v>1800</v>
      </c>
    </row>
    <row r="4" spans="2:9" x14ac:dyDescent="0.25">
      <c r="B4" s="18" t="s">
        <v>21</v>
      </c>
      <c r="C4" s="19">
        <v>15</v>
      </c>
      <c r="D4" s="19">
        <v>100</v>
      </c>
      <c r="E4" s="20">
        <f t="shared" ref="E4:E6" si="0">+C4*D4*$C$9</f>
        <v>7500</v>
      </c>
      <c r="F4" s="20">
        <f t="shared" ref="F4:F6" si="1">+E4*$C$10</f>
        <v>1500</v>
      </c>
      <c r="G4" s="20">
        <f t="shared" ref="G4:G6" si="2">+E4*$C$11</f>
        <v>750</v>
      </c>
      <c r="H4" s="20">
        <f t="shared" ref="H4:H6" si="3">+E4*$C$13</f>
        <v>3375</v>
      </c>
      <c r="I4" s="21">
        <f t="shared" ref="I4:I6" si="4">+E4*$C$12</f>
        <v>1875</v>
      </c>
    </row>
    <row r="5" spans="2:9" x14ac:dyDescent="0.25">
      <c r="B5" s="18" t="s">
        <v>22</v>
      </c>
      <c r="C5" s="19">
        <v>13</v>
      </c>
      <c r="D5" s="19">
        <v>300</v>
      </c>
      <c r="E5" s="20">
        <f>+C5*D5*$C$9</f>
        <v>19500</v>
      </c>
      <c r="F5" s="20">
        <f t="shared" si="1"/>
        <v>3900</v>
      </c>
      <c r="G5" s="20">
        <f t="shared" si="2"/>
        <v>1950</v>
      </c>
      <c r="H5" s="20">
        <f t="shared" si="3"/>
        <v>8775</v>
      </c>
      <c r="I5" s="21">
        <f t="shared" si="4"/>
        <v>4875</v>
      </c>
    </row>
    <row r="6" spans="2:9" ht="15.75" thickBot="1" x14ac:dyDescent="0.3">
      <c r="B6" s="22" t="s">
        <v>23</v>
      </c>
      <c r="C6" s="23">
        <v>15</v>
      </c>
      <c r="D6" s="23">
        <v>50</v>
      </c>
      <c r="E6" s="24">
        <f t="shared" si="0"/>
        <v>3750</v>
      </c>
      <c r="F6" s="24">
        <f t="shared" si="1"/>
        <v>750</v>
      </c>
      <c r="G6" s="24">
        <f t="shared" si="2"/>
        <v>375</v>
      </c>
      <c r="H6" s="24">
        <f t="shared" si="3"/>
        <v>1687.5</v>
      </c>
      <c r="I6" s="25">
        <f t="shared" si="4"/>
        <v>937.5</v>
      </c>
    </row>
    <row r="7" spans="2:9" ht="16.5" thickTop="1" thickBot="1" x14ac:dyDescent="0.3">
      <c r="B7" s="26" t="s">
        <v>24</v>
      </c>
      <c r="C7" s="27">
        <f>SUM(C3:C6)</f>
        <v>61</v>
      </c>
      <c r="D7" s="27">
        <f t="shared" ref="D7:I7" si="5">SUM(D3:D6)</f>
        <v>530</v>
      </c>
      <c r="E7" s="28">
        <f t="shared" si="5"/>
        <v>37950</v>
      </c>
      <c r="F7" s="28">
        <f t="shared" si="5"/>
        <v>7590</v>
      </c>
      <c r="G7" s="28">
        <f t="shared" si="5"/>
        <v>3795</v>
      </c>
      <c r="H7" s="28">
        <f t="shared" si="5"/>
        <v>17077.5</v>
      </c>
      <c r="I7" s="29">
        <f t="shared" si="5"/>
        <v>9487.5</v>
      </c>
    </row>
    <row r="8" spans="2:9" ht="16.5" thickTop="1" thickBot="1" x14ac:dyDescent="0.3">
      <c r="B8" s="30"/>
      <c r="C8" s="31"/>
      <c r="D8" s="32"/>
      <c r="E8" s="33"/>
      <c r="F8" s="33"/>
      <c r="G8" s="33"/>
      <c r="H8" s="33"/>
      <c r="I8" s="33"/>
    </row>
    <row r="9" spans="2:9" ht="15.75" thickTop="1" x14ac:dyDescent="0.25">
      <c r="B9" s="34" t="s">
        <v>25</v>
      </c>
      <c r="C9" s="35">
        <v>5</v>
      </c>
      <c r="D9" s="32"/>
      <c r="E9" s="33"/>
      <c r="F9" s="33"/>
      <c r="G9" s="33"/>
      <c r="H9" s="33"/>
      <c r="I9" s="33"/>
    </row>
    <row r="10" spans="2:9" x14ac:dyDescent="0.25">
      <c r="B10" s="18" t="s">
        <v>16</v>
      </c>
      <c r="C10" s="36">
        <v>0.2</v>
      </c>
      <c r="D10" s="32"/>
      <c r="E10" s="33"/>
      <c r="F10" s="33"/>
      <c r="G10" s="33"/>
      <c r="H10" s="33"/>
      <c r="I10" s="33"/>
    </row>
    <row r="11" spans="2:9" x14ac:dyDescent="0.25">
      <c r="B11" s="18" t="s">
        <v>17</v>
      </c>
      <c r="C11" s="36">
        <v>0.1</v>
      </c>
      <c r="D11" s="32"/>
      <c r="E11" s="33"/>
      <c r="F11" s="33"/>
      <c r="G11" s="33"/>
      <c r="H11" s="33"/>
      <c r="I11" s="33"/>
    </row>
    <row r="12" spans="2:9" x14ac:dyDescent="0.25">
      <c r="B12" s="18" t="s">
        <v>19</v>
      </c>
      <c r="C12" s="36">
        <v>0.25</v>
      </c>
      <c r="D12" s="32"/>
      <c r="E12" s="33"/>
      <c r="F12" s="33"/>
      <c r="G12" s="33"/>
      <c r="H12" s="33"/>
      <c r="I12" s="33"/>
    </row>
    <row r="13" spans="2:9" ht="15.75" thickBot="1" x14ac:dyDescent="0.3">
      <c r="B13" s="22" t="s">
        <v>18</v>
      </c>
      <c r="C13" s="37">
        <v>0.45</v>
      </c>
      <c r="D13" s="32"/>
      <c r="E13" s="33"/>
      <c r="F13" s="33"/>
      <c r="G13" s="33"/>
      <c r="H13" s="33"/>
      <c r="I13" s="33"/>
    </row>
    <row r="14" spans="2:9" ht="15.75" thickTop="1" x14ac:dyDescent="0.25"/>
  </sheetData>
  <conditionalFormatting sqref="F3:I6">
    <cfRule type="cellIs" dxfId="0" priority="1" operator="greaterThan">
      <formula>1000</formula>
    </cfRule>
  </conditionalFormatting>
  <dataValidations disablePrompts="1" count="1">
    <dataValidation type="whole" operator="greaterThan" allowBlank="1" showInputMessage="1" showErrorMessage="1" sqref="C3:D6" xr:uid="{00000000-0002-0000-0100-000000000000}">
      <formula1>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6"/>
  <sheetViews>
    <sheetView workbookViewId="0">
      <selection activeCell="K2" sqref="K2"/>
    </sheetView>
  </sheetViews>
  <sheetFormatPr baseColWidth="10" defaultRowHeight="15" x14ac:dyDescent="0.25"/>
  <cols>
    <col min="2" max="2" width="23.140625" bestFit="1" customWidth="1"/>
    <col min="3" max="10" width="10.85546875" customWidth="1"/>
  </cols>
  <sheetData>
    <row r="1" spans="2:11" ht="15.75" thickBot="1" x14ac:dyDescent="0.3"/>
    <row r="2" spans="2:11" ht="16.5" thickTop="1" thickBot="1" x14ac:dyDescent="0.3">
      <c r="B2" s="39"/>
      <c r="C2" s="40" t="s">
        <v>27</v>
      </c>
      <c r="D2" s="41" t="s">
        <v>28</v>
      </c>
      <c r="E2" s="41" t="s">
        <v>29</v>
      </c>
      <c r="F2" s="41" t="s">
        <v>30</v>
      </c>
      <c r="G2" s="42" t="s">
        <v>31</v>
      </c>
      <c r="H2" s="43" t="s">
        <v>32</v>
      </c>
      <c r="I2" s="44" t="s">
        <v>33</v>
      </c>
      <c r="J2" s="45" t="s">
        <v>34</v>
      </c>
      <c r="K2" s="45" t="s">
        <v>60</v>
      </c>
    </row>
    <row r="3" spans="2:11" ht="15.75" thickTop="1" x14ac:dyDescent="0.25">
      <c r="B3" s="46" t="s">
        <v>35</v>
      </c>
      <c r="C3" s="47">
        <v>8.75</v>
      </c>
      <c r="D3" s="48">
        <v>7.5</v>
      </c>
      <c r="E3" s="48">
        <v>4.5</v>
      </c>
      <c r="F3" s="48">
        <v>9</v>
      </c>
      <c r="G3" s="49">
        <v>6</v>
      </c>
      <c r="H3" s="50">
        <f>AVERAGE(C3:G3)</f>
        <v>7.15</v>
      </c>
      <c r="I3" s="51" t="str">
        <f>+IF(H3&gt;5,"si","no")</f>
        <v>si</v>
      </c>
      <c r="J3" s="52" t="str">
        <f>+IF(H3&gt;$H$13,"si","no")</f>
        <v>si</v>
      </c>
      <c r="K3" s="52"/>
    </row>
    <row r="4" spans="2:11" x14ac:dyDescent="0.25">
      <c r="B4" s="53" t="s">
        <v>36</v>
      </c>
      <c r="C4" s="54">
        <v>9</v>
      </c>
      <c r="D4" s="55">
        <v>8.5</v>
      </c>
      <c r="E4" s="55">
        <v>8</v>
      </c>
      <c r="F4" s="55">
        <v>9</v>
      </c>
      <c r="G4" s="56">
        <v>9.5</v>
      </c>
      <c r="H4" s="54">
        <f t="shared" ref="H4:H12" si="0">AVERAGE(C4:G4)</f>
        <v>8.8000000000000007</v>
      </c>
      <c r="I4" s="55" t="str">
        <f t="shared" ref="I4:I12" si="1">+IF(H4&gt;5,"si","no")</f>
        <v>si</v>
      </c>
      <c r="J4" s="56" t="str">
        <f t="shared" ref="J4:J12" si="2">+IF(H4&gt;$H$13,"si","no")</f>
        <v>si</v>
      </c>
      <c r="K4" s="52"/>
    </row>
    <row r="5" spans="2:11" x14ac:dyDescent="0.25">
      <c r="B5" s="53" t="s">
        <v>37</v>
      </c>
      <c r="C5" s="54">
        <v>6.5</v>
      </c>
      <c r="D5" s="55">
        <v>4</v>
      </c>
      <c r="E5" s="55">
        <v>3.5</v>
      </c>
      <c r="F5" s="55">
        <v>4</v>
      </c>
      <c r="G5" s="56">
        <v>6.5</v>
      </c>
      <c r="H5" s="54">
        <f t="shared" si="0"/>
        <v>4.9000000000000004</v>
      </c>
      <c r="I5" s="55" t="str">
        <f t="shared" si="1"/>
        <v>no</v>
      </c>
      <c r="J5" s="56" t="str">
        <f t="shared" si="2"/>
        <v>no</v>
      </c>
      <c r="K5" s="52"/>
    </row>
    <row r="6" spans="2:11" x14ac:dyDescent="0.25">
      <c r="B6" s="53" t="s">
        <v>38</v>
      </c>
      <c r="C6" s="54">
        <v>6</v>
      </c>
      <c r="D6" s="55">
        <v>7</v>
      </c>
      <c r="E6" s="55">
        <v>7.5</v>
      </c>
      <c r="F6" s="55">
        <v>6.5</v>
      </c>
      <c r="G6" s="56">
        <v>5.5</v>
      </c>
      <c r="H6" s="54">
        <f t="shared" si="0"/>
        <v>6.5</v>
      </c>
      <c r="I6" s="55" t="str">
        <f t="shared" si="1"/>
        <v>si</v>
      </c>
      <c r="J6" s="56" t="str">
        <f t="shared" si="2"/>
        <v>si</v>
      </c>
      <c r="K6" s="52"/>
    </row>
    <row r="7" spans="2:11" x14ac:dyDescent="0.25">
      <c r="B7" s="53" t="s">
        <v>39</v>
      </c>
      <c r="C7" s="54">
        <v>7</v>
      </c>
      <c r="D7" s="55">
        <v>8.5</v>
      </c>
      <c r="E7" s="55">
        <v>7</v>
      </c>
      <c r="F7" s="55">
        <v>4</v>
      </c>
      <c r="G7" s="56">
        <v>9</v>
      </c>
      <c r="H7" s="54">
        <f t="shared" si="0"/>
        <v>7.1</v>
      </c>
      <c r="I7" s="55" t="str">
        <f t="shared" si="1"/>
        <v>si</v>
      </c>
      <c r="J7" s="56" t="str">
        <f t="shared" si="2"/>
        <v>si</v>
      </c>
      <c r="K7" s="52"/>
    </row>
    <row r="8" spans="2:11" x14ac:dyDescent="0.25">
      <c r="B8" s="53" t="s">
        <v>40</v>
      </c>
      <c r="C8" s="54">
        <v>7</v>
      </c>
      <c r="D8" s="55">
        <v>5</v>
      </c>
      <c r="E8" s="55">
        <v>4.5</v>
      </c>
      <c r="F8" s="55">
        <v>6</v>
      </c>
      <c r="G8" s="56">
        <v>5.5</v>
      </c>
      <c r="H8" s="54">
        <f t="shared" si="0"/>
        <v>5.6</v>
      </c>
      <c r="I8" s="55" t="str">
        <f t="shared" si="1"/>
        <v>si</v>
      </c>
      <c r="J8" s="56" t="str">
        <f t="shared" si="2"/>
        <v>no</v>
      </c>
      <c r="K8" s="52"/>
    </row>
    <row r="9" spans="2:11" x14ac:dyDescent="0.25">
      <c r="B9" s="53" t="s">
        <v>41</v>
      </c>
      <c r="C9" s="54">
        <v>8</v>
      </c>
      <c r="D9" s="55">
        <v>6.5</v>
      </c>
      <c r="E9" s="55">
        <v>2.5</v>
      </c>
      <c r="F9" s="55">
        <v>3</v>
      </c>
      <c r="G9" s="56">
        <v>4</v>
      </c>
      <c r="H9" s="54">
        <f t="shared" si="0"/>
        <v>4.8</v>
      </c>
      <c r="I9" s="55" t="str">
        <f t="shared" si="1"/>
        <v>no</v>
      </c>
      <c r="J9" s="56" t="str">
        <f t="shared" si="2"/>
        <v>no</v>
      </c>
      <c r="K9" s="52"/>
    </row>
    <row r="10" spans="2:11" x14ac:dyDescent="0.25">
      <c r="B10" s="53" t="s">
        <v>42</v>
      </c>
      <c r="C10" s="54">
        <v>8.5</v>
      </c>
      <c r="D10" s="55">
        <v>8.5</v>
      </c>
      <c r="E10" s="55">
        <v>6.75</v>
      </c>
      <c r="F10" s="55">
        <v>5.5</v>
      </c>
      <c r="G10" s="56">
        <v>7</v>
      </c>
      <c r="H10" s="54">
        <f t="shared" si="0"/>
        <v>7.25</v>
      </c>
      <c r="I10" s="55" t="str">
        <f t="shared" si="1"/>
        <v>si</v>
      </c>
      <c r="J10" s="56" t="str">
        <f t="shared" si="2"/>
        <v>si</v>
      </c>
      <c r="K10" s="52"/>
    </row>
    <row r="11" spans="2:11" x14ac:dyDescent="0.25">
      <c r="B11" s="53" t="s">
        <v>43</v>
      </c>
      <c r="C11" s="54">
        <v>9</v>
      </c>
      <c r="D11" s="55">
        <v>8.75</v>
      </c>
      <c r="E11" s="55">
        <v>7</v>
      </c>
      <c r="F11" s="55">
        <v>7.5</v>
      </c>
      <c r="G11" s="56">
        <v>6</v>
      </c>
      <c r="H11" s="54">
        <f t="shared" si="0"/>
        <v>7.65</v>
      </c>
      <c r="I11" s="55" t="str">
        <f t="shared" si="1"/>
        <v>si</v>
      </c>
      <c r="J11" s="56" t="str">
        <f t="shared" si="2"/>
        <v>si</v>
      </c>
      <c r="K11" s="52"/>
    </row>
    <row r="12" spans="2:11" ht="15.75" thickBot="1" x14ac:dyDescent="0.3">
      <c r="B12" s="57" t="s">
        <v>44</v>
      </c>
      <c r="C12" s="58">
        <v>6</v>
      </c>
      <c r="D12" s="59">
        <v>5</v>
      </c>
      <c r="E12" s="59">
        <v>3</v>
      </c>
      <c r="F12" s="59">
        <v>4</v>
      </c>
      <c r="G12" s="60">
        <v>5</v>
      </c>
      <c r="H12" s="61">
        <f t="shared" si="0"/>
        <v>4.5999999999999996</v>
      </c>
      <c r="I12" s="62" t="str">
        <f t="shared" si="1"/>
        <v>no</v>
      </c>
      <c r="J12" s="63" t="str">
        <f t="shared" si="2"/>
        <v>no</v>
      </c>
      <c r="K12" s="82"/>
    </row>
    <row r="13" spans="2:11" ht="16.5" thickTop="1" thickBot="1" x14ac:dyDescent="0.3">
      <c r="B13" s="64" t="s">
        <v>32</v>
      </c>
      <c r="C13" s="47">
        <f>AVERAGE(C3:C12)</f>
        <v>7.5750000000000002</v>
      </c>
      <c r="D13" s="48">
        <f t="shared" ref="D13:G13" si="3">AVERAGE(D3:D12)</f>
        <v>6.9249999999999998</v>
      </c>
      <c r="E13" s="48">
        <f t="shared" si="3"/>
        <v>5.4249999999999998</v>
      </c>
      <c r="F13" s="48">
        <f t="shared" si="3"/>
        <v>5.85</v>
      </c>
      <c r="G13" s="49">
        <f t="shared" si="3"/>
        <v>6.4</v>
      </c>
      <c r="H13" s="65">
        <f>AVERAGE(C3:G12)</f>
        <v>6.4349999999999996</v>
      </c>
      <c r="I13" s="39"/>
      <c r="J13" s="39"/>
    </row>
    <row r="14" spans="2:11" ht="15.75" thickTop="1" x14ac:dyDescent="0.25">
      <c r="B14" s="66" t="s">
        <v>45</v>
      </c>
      <c r="C14" s="54">
        <f>MAX(C3:C12)</f>
        <v>9</v>
      </c>
      <c r="D14" s="55">
        <f t="shared" ref="D14:G14" si="4">MAX(D3:D12)</f>
        <v>8.75</v>
      </c>
      <c r="E14" s="55">
        <f t="shared" si="4"/>
        <v>8</v>
      </c>
      <c r="F14" s="55">
        <f t="shared" si="4"/>
        <v>9</v>
      </c>
      <c r="G14" s="56">
        <f t="shared" si="4"/>
        <v>9.5</v>
      </c>
      <c r="H14" s="67"/>
      <c r="I14" s="39"/>
      <c r="J14" s="39"/>
    </row>
    <row r="15" spans="2:11" ht="15.75" thickBot="1" x14ac:dyDescent="0.3">
      <c r="B15" s="68" t="s">
        <v>46</v>
      </c>
      <c r="C15" s="61">
        <f>MIN(C3:C12)</f>
        <v>6</v>
      </c>
      <c r="D15" s="62">
        <f t="shared" ref="D15:G15" si="5">MIN(D3:D12)</f>
        <v>4</v>
      </c>
      <c r="E15" s="62">
        <f t="shared" si="5"/>
        <v>2.5</v>
      </c>
      <c r="F15" s="62">
        <f t="shared" si="5"/>
        <v>3</v>
      </c>
      <c r="G15" s="63">
        <f t="shared" si="5"/>
        <v>4</v>
      </c>
      <c r="H15" s="67"/>
      <c r="I15" s="39"/>
      <c r="J15" s="39"/>
    </row>
    <row r="16" spans="2:11" ht="15.75" thickTop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3" displayEmptyCellsAs="gap" high="1" low="1" xr2:uid="{DEBE409B-A0B4-4E6C-85CA-3DA81E0CB87D}">
          <x14:colorSeries theme="4" tint="-0.249977111117893"/>
          <x14:colorNegative rgb="FFFFB620"/>
          <x14:colorAxis rgb="FF000000"/>
          <x14:colorMarkers rgb="FFD70077"/>
          <x14:colorFirst rgb="FF777777"/>
          <x14:colorLast rgb="FF359CEB"/>
          <x14:colorHigh rgb="FF00B050"/>
          <x14:colorLow rgb="FFFF0000"/>
          <x14:sparklines>
            <x14:sparkline>
              <xm:f>'Ejercicio 3A'!C3:G3</xm:f>
              <xm:sqref>K3</xm:sqref>
            </x14:sparkline>
            <x14:sparkline>
              <xm:f>'Ejercicio 3A'!C4:G4</xm:f>
              <xm:sqref>K4</xm:sqref>
            </x14:sparkline>
            <x14:sparkline>
              <xm:f>'Ejercicio 3A'!C5:G5</xm:f>
              <xm:sqref>K5</xm:sqref>
            </x14:sparkline>
            <x14:sparkline>
              <xm:f>'Ejercicio 3A'!C6:G6</xm:f>
              <xm:sqref>K6</xm:sqref>
            </x14:sparkline>
            <x14:sparkline>
              <xm:f>'Ejercicio 3A'!C7:G7</xm:f>
              <xm:sqref>K7</xm:sqref>
            </x14:sparkline>
            <x14:sparkline>
              <xm:f>'Ejercicio 3A'!C8:G8</xm:f>
              <xm:sqref>K8</xm:sqref>
            </x14:sparkline>
            <x14:sparkline>
              <xm:f>'Ejercicio 3A'!C9:G9</xm:f>
              <xm:sqref>K9</xm:sqref>
            </x14:sparkline>
            <x14:sparkline>
              <xm:f>'Ejercicio 3A'!C10:G10</xm:f>
              <xm:sqref>K10</xm:sqref>
            </x14:sparkline>
            <x14:sparkline>
              <xm:f>'Ejercicio 3A'!C11:G11</xm:f>
              <xm:sqref>K11</xm:sqref>
            </x14:sparkline>
            <x14:sparkline>
              <xm:f>'Ejercicio 3A'!C12:G12</xm:f>
              <xm:sqref>K12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8"/>
  <sheetViews>
    <sheetView tabSelected="1" workbookViewId="0">
      <selection activeCell="L15" sqref="L15"/>
    </sheetView>
  </sheetViews>
  <sheetFormatPr baseColWidth="10" defaultRowHeight="15" x14ac:dyDescent="0.25"/>
  <cols>
    <col min="2" max="7" width="14" customWidth="1"/>
    <col min="8" max="8" width="70.28515625" customWidth="1"/>
  </cols>
  <sheetData>
    <row r="1" spans="2:8" ht="15.75" thickBot="1" x14ac:dyDescent="0.3"/>
    <row r="2" spans="2:8" ht="16.5" thickTop="1" thickBot="1" x14ac:dyDescent="0.3">
      <c r="B2" s="69" t="s">
        <v>47</v>
      </c>
      <c r="C2" s="69" t="s">
        <v>48</v>
      </c>
      <c r="D2" s="69" t="s">
        <v>49</v>
      </c>
      <c r="E2" s="69" t="s">
        <v>50</v>
      </c>
      <c r="F2" s="69" t="s">
        <v>51</v>
      </c>
      <c r="G2" s="69" t="s">
        <v>52</v>
      </c>
    </row>
    <row r="3" spans="2:8" ht="15.75" thickTop="1" x14ac:dyDescent="0.25">
      <c r="B3" s="70" t="s">
        <v>53</v>
      </c>
      <c r="C3" s="71">
        <v>160</v>
      </c>
      <c r="D3" s="71">
        <v>8</v>
      </c>
      <c r="E3" s="71">
        <f>+C3+D3</f>
        <v>168</v>
      </c>
      <c r="F3" s="71">
        <f>+IF(E3&gt;165,200,0)</f>
        <v>200</v>
      </c>
      <c r="G3" s="71">
        <f>+D3*15+F3+C3*10</f>
        <v>1920</v>
      </c>
      <c r="H3" s="83"/>
    </row>
    <row r="4" spans="2:8" x14ac:dyDescent="0.25">
      <c r="B4" s="72" t="s">
        <v>54</v>
      </c>
      <c r="C4" s="73">
        <v>155</v>
      </c>
      <c r="D4" s="73">
        <v>12</v>
      </c>
      <c r="E4" s="73">
        <f t="shared" ref="E4:E8" si="0">+C4+D4</f>
        <v>167</v>
      </c>
      <c r="F4" s="73">
        <f t="shared" ref="F4:F8" si="1">+IF(E4&gt;165,200,0)</f>
        <v>200</v>
      </c>
      <c r="G4" s="73">
        <f t="shared" ref="G4:G8" si="2">+D4*15+F4+C4*10</f>
        <v>1930</v>
      </c>
      <c r="H4" s="83"/>
    </row>
    <row r="5" spans="2:8" x14ac:dyDescent="0.25">
      <c r="B5" s="72" t="s">
        <v>55</v>
      </c>
      <c r="C5" s="73">
        <v>146</v>
      </c>
      <c r="D5" s="73">
        <v>1</v>
      </c>
      <c r="E5" s="73">
        <f t="shared" si="0"/>
        <v>147</v>
      </c>
      <c r="F5" s="73">
        <f t="shared" si="1"/>
        <v>0</v>
      </c>
      <c r="G5" s="73">
        <f t="shared" si="2"/>
        <v>1475</v>
      </c>
      <c r="H5" s="83"/>
    </row>
    <row r="6" spans="2:8" x14ac:dyDescent="0.25">
      <c r="B6" s="72" t="s">
        <v>56</v>
      </c>
      <c r="C6" s="73">
        <v>158</v>
      </c>
      <c r="D6" s="73">
        <v>2</v>
      </c>
      <c r="E6" s="73">
        <f t="shared" si="0"/>
        <v>160</v>
      </c>
      <c r="F6" s="73">
        <f t="shared" si="1"/>
        <v>0</v>
      </c>
      <c r="G6" s="73">
        <f t="shared" si="2"/>
        <v>1610</v>
      </c>
      <c r="H6" s="83"/>
    </row>
    <row r="7" spans="2:8" x14ac:dyDescent="0.25">
      <c r="B7" s="72" t="s">
        <v>57</v>
      </c>
      <c r="C7" s="73">
        <v>149</v>
      </c>
      <c r="D7" s="73">
        <v>6</v>
      </c>
      <c r="E7" s="73">
        <f t="shared" si="0"/>
        <v>155</v>
      </c>
      <c r="F7" s="73">
        <f t="shared" si="1"/>
        <v>0</v>
      </c>
      <c r="G7" s="73">
        <f t="shared" si="2"/>
        <v>1580</v>
      </c>
      <c r="H7" s="83"/>
    </row>
    <row r="8" spans="2:8" ht="15.75" thickBot="1" x14ac:dyDescent="0.3">
      <c r="B8" s="74" t="s">
        <v>58</v>
      </c>
      <c r="C8" s="75">
        <v>160</v>
      </c>
      <c r="D8" s="75">
        <v>10</v>
      </c>
      <c r="E8" s="75">
        <f t="shared" si="0"/>
        <v>170</v>
      </c>
      <c r="F8" s="75">
        <f t="shared" si="1"/>
        <v>200</v>
      </c>
      <c r="G8" s="75">
        <f t="shared" si="2"/>
        <v>1950</v>
      </c>
      <c r="H8" s="83"/>
    </row>
    <row r="9" spans="2:8" ht="15.75" thickTop="1" x14ac:dyDescent="0.25">
      <c r="B9" s="76" t="s">
        <v>26</v>
      </c>
      <c r="C9" s="77">
        <f>SUM(C3:C8)</f>
        <v>928</v>
      </c>
      <c r="D9" s="77">
        <f t="shared" ref="D9:G9" si="3">SUM(D3:D8)</f>
        <v>39</v>
      </c>
      <c r="E9" s="77">
        <f t="shared" si="3"/>
        <v>967</v>
      </c>
      <c r="F9" s="77">
        <f t="shared" si="3"/>
        <v>600</v>
      </c>
      <c r="G9" s="77">
        <f t="shared" si="3"/>
        <v>10465</v>
      </c>
    </row>
    <row r="10" spans="2:8" x14ac:dyDescent="0.25">
      <c r="B10" s="78" t="s">
        <v>45</v>
      </c>
      <c r="C10" s="73">
        <f>MAX(C3:C8)</f>
        <v>160</v>
      </c>
      <c r="D10" s="73">
        <f t="shared" ref="D10:G10" si="4">MAX(D3:D8)</f>
        <v>12</v>
      </c>
      <c r="E10" s="73">
        <f t="shared" si="4"/>
        <v>170</v>
      </c>
      <c r="F10" s="73">
        <f t="shared" si="4"/>
        <v>200</v>
      </c>
      <c r="G10" s="73">
        <f t="shared" si="4"/>
        <v>1950</v>
      </c>
    </row>
    <row r="11" spans="2:8" x14ac:dyDescent="0.25">
      <c r="B11" s="78" t="s">
        <v>46</v>
      </c>
      <c r="C11" s="73">
        <f>MIN(C3:C8)</f>
        <v>146</v>
      </c>
      <c r="D11" s="73">
        <f t="shared" ref="D11:G11" si="5">MIN(D3:D8)</f>
        <v>1</v>
      </c>
      <c r="E11" s="73">
        <f t="shared" si="5"/>
        <v>147</v>
      </c>
      <c r="F11" s="73">
        <f t="shared" si="5"/>
        <v>0</v>
      </c>
      <c r="G11" s="73">
        <f t="shared" si="5"/>
        <v>1475</v>
      </c>
    </row>
    <row r="12" spans="2:8" ht="15.75" thickBot="1" x14ac:dyDescent="0.3">
      <c r="B12" s="79" t="s">
        <v>32</v>
      </c>
      <c r="C12" s="80">
        <f>AVERAGE(C3:C8)</f>
        <v>154.66666666666666</v>
      </c>
      <c r="D12" s="80">
        <f t="shared" ref="D12:G12" si="6">AVERAGE(D3:D8)</f>
        <v>6.5</v>
      </c>
      <c r="E12" s="80">
        <f t="shared" si="6"/>
        <v>161.16666666666666</v>
      </c>
      <c r="F12" s="80">
        <f t="shared" si="6"/>
        <v>100</v>
      </c>
      <c r="G12" s="80">
        <f t="shared" si="6"/>
        <v>1744.1666666666667</v>
      </c>
    </row>
    <row r="13" spans="2:8" ht="15.75" thickTop="1" x14ac:dyDescent="0.25"/>
    <row r="17" spans="3:4" x14ac:dyDescent="0.25">
      <c r="C17" s="38"/>
    </row>
    <row r="18" spans="3:4" x14ac:dyDescent="0.25">
      <c r="D18" s="38"/>
    </row>
  </sheetData>
  <mergeCells count="1">
    <mergeCell ref="H3:H8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170" manualMin="0" type="column" displayEmptyCellsAs="gap" minAxisType="custom" maxAxisType="custom" xr2:uid="{4723911F-87FE-45DF-88C2-43F253FB859F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'Ejercicio 4'!E3:E8</xm:f>
              <xm:sqref>H3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</vt:lpstr>
      <vt:lpstr>Ejercicio 2</vt:lpstr>
      <vt:lpstr>Ejercicio 3A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Enguita Escolano</dc:creator>
  <cp:lastModifiedBy>SMR1A-23</cp:lastModifiedBy>
  <dcterms:created xsi:type="dcterms:W3CDTF">2017-05-26T07:50:37Z</dcterms:created>
  <dcterms:modified xsi:type="dcterms:W3CDTF">2023-11-10T12:54:33Z</dcterms:modified>
</cp:coreProperties>
</file>