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E:\Users\smr1a-23\Desktop\EXCEL-RICARDO\Apuntes\"/>
    </mc:Choice>
  </mc:AlternateContent>
  <xr:revisionPtr revIDLastSave="0" documentId="13_ncr:1_{84EFC9C9-7D4B-4F7C-9A68-90B7EEF343FF}" xr6:coauthVersionLast="36" xr6:coauthVersionMax="47" xr10:uidLastSave="{00000000-0000-0000-0000-000000000000}"/>
  <bookViews>
    <workbookView xWindow="0" yWindow="0" windowWidth="18510" windowHeight="7890" firstSheet="1" activeTab="4" xr2:uid="{00000000-000D-0000-FFFF-FFFF00000000}"/>
  </bookViews>
  <sheets>
    <sheet name="Menú Principal" sheetId="1" r:id="rId1"/>
    <sheet name="Estadísticas" sheetId="8" r:id="rId2"/>
    <sheet name=" Gancias y Gastos" sheetId="5" r:id="rId3"/>
    <sheet name="Salarios" sheetId="3" r:id="rId4"/>
    <sheet name="Balance total" sheetId="7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7" l="1"/>
  <c r="C17" i="7"/>
  <c r="D16" i="7"/>
  <c r="C16" i="7"/>
  <c r="D15" i="7"/>
  <c r="C15" i="7"/>
  <c r="D14" i="7"/>
  <c r="C14" i="7"/>
  <c r="G16" i="5" l="1"/>
  <c r="G14" i="5"/>
  <c r="G12" i="5"/>
  <c r="C5" i="8"/>
  <c r="D12" i="5" l="1"/>
  <c r="D39" i="5"/>
  <c r="D41" i="5" s="1"/>
  <c r="E39" i="5"/>
  <c r="E41" i="5" s="1"/>
  <c r="F39" i="5"/>
  <c r="F41" i="5" s="1"/>
  <c r="G39" i="5"/>
  <c r="G41" i="5" s="1"/>
  <c r="H39" i="5"/>
  <c r="C39" i="5"/>
  <c r="C41" i="5" s="1"/>
  <c r="H41" i="5"/>
  <c r="C3" i="8"/>
  <c r="C4" i="8"/>
  <c r="C6" i="8"/>
  <c r="C7" i="8"/>
  <c r="C8" i="8"/>
  <c r="C9" i="8"/>
  <c r="C10" i="8"/>
  <c r="C11" i="8"/>
  <c r="C12" i="8"/>
  <c r="C13" i="8"/>
  <c r="C14" i="8"/>
  <c r="C15" i="8"/>
  <c r="C16" i="8"/>
  <c r="D12" i="8"/>
  <c r="D13" i="8"/>
  <c r="D14" i="8"/>
  <c r="D15" i="8"/>
  <c r="D16" i="8"/>
  <c r="B12" i="8"/>
  <c r="B13" i="8"/>
  <c r="B14" i="8"/>
  <c r="B15" i="8"/>
  <c r="B16" i="8"/>
  <c r="B3" i="8"/>
  <c r="D3" i="8"/>
  <c r="B4" i="8"/>
  <c r="D4" i="8"/>
  <c r="B5" i="8"/>
  <c r="D5" i="8"/>
  <c r="B6" i="8"/>
  <c r="D6" i="8"/>
  <c r="B7" i="8"/>
  <c r="D7" i="8"/>
  <c r="B8" i="8"/>
  <c r="D8" i="8"/>
  <c r="B9" i="8"/>
  <c r="D9" i="8"/>
  <c r="B10" i="8"/>
  <c r="D10" i="8"/>
  <c r="B11" i="8"/>
  <c r="D11" i="8"/>
  <c r="D13" i="5"/>
  <c r="D14" i="5"/>
  <c r="D15" i="5"/>
  <c r="D16" i="5"/>
  <c r="D17" i="5"/>
  <c r="D21" i="5"/>
  <c r="D18" i="5"/>
  <c r="C6" i="7" s="1"/>
  <c r="D19" i="5"/>
  <c r="D20" i="5"/>
  <c r="F4" i="3"/>
  <c r="G4" i="3" s="1"/>
  <c r="F5" i="3"/>
  <c r="G5" i="3" s="1"/>
  <c r="F6" i="3"/>
  <c r="G6" i="3" s="1"/>
  <c r="H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H16" i="3" s="1"/>
  <c r="F17" i="3"/>
  <c r="G17" i="3" s="1"/>
  <c r="F18" i="3"/>
  <c r="G18" i="3" s="1"/>
  <c r="H18" i="3" s="1"/>
  <c r="F19" i="3"/>
  <c r="G19" i="3" s="1"/>
  <c r="F20" i="3"/>
  <c r="G20" i="3" s="1"/>
  <c r="F21" i="3"/>
  <c r="G21" i="3" s="1"/>
  <c r="F22" i="3"/>
  <c r="G22" i="3" s="1"/>
  <c r="H22" i="3" l="1"/>
  <c r="H14" i="3"/>
  <c r="H10" i="3"/>
  <c r="H21" i="3"/>
  <c r="H13" i="3"/>
  <c r="H9" i="3"/>
  <c r="H5" i="3"/>
  <c r="H17" i="3"/>
  <c r="H4" i="3"/>
  <c r="H7" i="3"/>
  <c r="H8" i="3"/>
  <c r="H11" i="3"/>
  <c r="H12" i="3"/>
  <c r="H15" i="3"/>
  <c r="H19" i="3"/>
  <c r="H20" i="3"/>
  <c r="H23" i="3" l="1"/>
  <c r="E6" i="7" l="1"/>
  <c r="C9" i="7" s="1"/>
  <c r="E9" i="7" s="1"/>
</calcChain>
</file>

<file path=xl/sharedStrings.xml><?xml version="1.0" encoding="utf-8"?>
<sst xmlns="http://schemas.openxmlformats.org/spreadsheetml/2006/main" count="150" uniqueCount="113">
  <si>
    <t>Factura 2022 Club de Baloncesto Moratalaz</t>
  </si>
  <si>
    <t>Páginas de la Factura</t>
  </si>
  <si>
    <t>Estadísticas</t>
  </si>
  <si>
    <t>Gancias y Gastos</t>
  </si>
  <si>
    <t>Salarios</t>
  </si>
  <si>
    <t>Balance Total</t>
  </si>
  <si>
    <t>Gastos de campaña</t>
  </si>
  <si>
    <t>Concepto</t>
  </si>
  <si>
    <t>Total</t>
  </si>
  <si>
    <t>Media</t>
  </si>
  <si>
    <t>Tipo de personal</t>
  </si>
  <si>
    <t>Salario Anual</t>
  </si>
  <si>
    <t>Cuerpo Técnico</t>
  </si>
  <si>
    <t>Directiva</t>
  </si>
  <si>
    <t>Logística</t>
  </si>
  <si>
    <t>Plantilla</t>
  </si>
  <si>
    <t>Total general</t>
  </si>
  <si>
    <t>Ingresos y gastos</t>
  </si>
  <si>
    <t>INGRESOS</t>
  </si>
  <si>
    <t>Ingresos</t>
  </si>
  <si>
    <t>Ingresos netos</t>
  </si>
  <si>
    <t>Liga Endesa</t>
  </si>
  <si>
    <t>Euroliga</t>
  </si>
  <si>
    <t>Venta de productos de merchandishing</t>
  </si>
  <si>
    <t>Venta de entradas</t>
  </si>
  <si>
    <t>Copa del Rey</t>
  </si>
  <si>
    <t>Donaciones</t>
  </si>
  <si>
    <t>Sponsors (Iphone)</t>
  </si>
  <si>
    <t>Prima por primera división</t>
  </si>
  <si>
    <t>Derechos de imagen</t>
  </si>
  <si>
    <t>Anuncios página web</t>
  </si>
  <si>
    <t>GASTOS</t>
  </si>
  <si>
    <t>Almacenamiento</t>
  </si>
  <si>
    <t>Producción equipaciones de juego</t>
  </si>
  <si>
    <t>Empresa tiendas físicas y online</t>
  </si>
  <si>
    <t>Empresa limpieza campos</t>
  </si>
  <si>
    <t>Empresa Mantenimiento de Campo</t>
  </si>
  <si>
    <t>Materiales de entrenamiento especializados</t>
  </si>
  <si>
    <t>Hoteles</t>
  </si>
  <si>
    <t>Viajes</t>
  </si>
  <si>
    <t>Dietas</t>
  </si>
  <si>
    <t>Fichajes</t>
  </si>
  <si>
    <t>Anuncios del club</t>
  </si>
  <si>
    <t>Servidores web</t>
  </si>
  <si>
    <t>Marketing redes sociales</t>
  </si>
  <si>
    <t>Producción productos de merchandishing</t>
  </si>
  <si>
    <t>TOTAL</t>
  </si>
  <si>
    <t>Gasto máximo por concepto</t>
  </si>
  <si>
    <t>Tipo de Personal</t>
  </si>
  <si>
    <t>Rango</t>
  </si>
  <si>
    <t>Nombre</t>
  </si>
  <si>
    <t>Apellidos</t>
  </si>
  <si>
    <t>Salario/mes</t>
  </si>
  <si>
    <t>Salario Total</t>
  </si>
  <si>
    <t>Prima por Contrato</t>
  </si>
  <si>
    <t>Total del Año</t>
  </si>
  <si>
    <t>Presidente</t>
  </si>
  <si>
    <t>Odey</t>
  </si>
  <si>
    <t>Muñoz Cruz</t>
  </si>
  <si>
    <t>Secretario General</t>
  </si>
  <si>
    <t>Razvan Adríán Vasile</t>
  </si>
  <si>
    <t xml:space="preserve">Borz </t>
  </si>
  <si>
    <t>Delegado de Campo</t>
  </si>
  <si>
    <t>Alejandro</t>
  </si>
  <si>
    <t>Portillo Díaz</t>
  </si>
  <si>
    <t>Entrenador</t>
  </si>
  <si>
    <t>José Manuel</t>
  </si>
  <si>
    <t>Díaz Fernandez</t>
  </si>
  <si>
    <t>Segundo Entrenador</t>
  </si>
  <si>
    <t>Diego Pablo</t>
  </si>
  <si>
    <t>Simeone</t>
  </si>
  <si>
    <t>Jugador</t>
  </si>
  <si>
    <t>Mario</t>
  </si>
  <si>
    <t>Montalvo Palacios</t>
  </si>
  <si>
    <t>Jesús</t>
  </si>
  <si>
    <t>Nieto Rodríguez</t>
  </si>
  <si>
    <t>Koldo</t>
  </si>
  <si>
    <t>De Diego</t>
  </si>
  <si>
    <t>Hugo</t>
  </si>
  <si>
    <t>Moreno Sabater</t>
  </si>
  <si>
    <t xml:space="preserve">Alfons </t>
  </si>
  <si>
    <t>Luna Biddle</t>
  </si>
  <si>
    <t>Jorge</t>
  </si>
  <si>
    <t>Montesinos Fernández</t>
  </si>
  <si>
    <t>Michel</t>
  </si>
  <si>
    <t>Jordan De Santa</t>
  </si>
  <si>
    <t>Federico</t>
  </si>
  <si>
    <t>Díaz Díaz</t>
  </si>
  <si>
    <t>Manuel</t>
  </si>
  <si>
    <t>Arias Navarro</t>
  </si>
  <si>
    <t xml:space="preserve">Thomas </t>
  </si>
  <si>
    <t>Zapatero Rodríguez</t>
  </si>
  <si>
    <t>Directora de campaña</t>
  </si>
  <si>
    <t xml:space="preserve">Cristina </t>
  </si>
  <si>
    <t>Horta</t>
  </si>
  <si>
    <t>Director de organización</t>
  </si>
  <si>
    <t>Lozano López</t>
  </si>
  <si>
    <t>Tesorero</t>
  </si>
  <si>
    <t>Daniel Zinedine</t>
  </si>
  <si>
    <t>González Medina</t>
  </si>
  <si>
    <t>Directora Club de Fans</t>
  </si>
  <si>
    <t xml:space="preserve">Sofía </t>
  </si>
  <si>
    <t>Todorova</t>
  </si>
  <si>
    <t>Propietario del club; Darío Nieto Lorente.</t>
  </si>
  <si>
    <t>Ingresos Totales</t>
  </si>
  <si>
    <t>Gastos totales</t>
  </si>
  <si>
    <t>Ganancias Brutas</t>
  </si>
  <si>
    <t>Ganancias Netas depúes de 25% de impuesto sobre beneficios</t>
  </si>
  <si>
    <t>Ingreso Máximo</t>
  </si>
  <si>
    <t>Ingreso Mínimo</t>
  </si>
  <si>
    <t>Ingreso Medio</t>
  </si>
  <si>
    <t>CANTIDAD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</si>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</sst>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</numFmts>
  <fonts count="18" x14ac:knownFonts="1"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scheme val="maj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4" fillId="2" borderId="6" applyNumberFormat="0" applyAlignment="0" applyProtection="0"/>
    <xf numFmtId="0" fontId="15" fillId="3" borderId="7" applyNumberFormat="0" applyAlignment="0" applyProtection="0"/>
    <xf numFmtId="0" fontId="16" fillId="4" borderId="8" applyNumberFormat="0" applyAlignment="0" applyProtection="0"/>
    <xf numFmtId="0" fontId="17" fillId="3" borderId="6" applyNumberFormat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/>
    <xf numFmtId="6" fontId="0" fillId="0" borderId="0" xfId="0" applyNumberFormat="1"/>
    <xf numFmtId="0" fontId="6" fillId="0" borderId="0" xfId="0" applyFont="1"/>
    <xf numFmtId="6" fontId="7" fillId="0" borderId="0" xfId="0" applyNumberFormat="1" applyFont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6" fontId="6" fillId="0" borderId="0" xfId="0" applyNumberFormat="1" applyFont="1"/>
    <xf numFmtId="164" fontId="11" fillId="0" borderId="0" xfId="0" applyNumberFormat="1" applyFont="1"/>
    <xf numFmtId="0" fontId="12" fillId="0" borderId="5" xfId="2" applyFill="1" applyBorder="1"/>
    <xf numFmtId="44" fontId="0" fillId="0" borderId="0" xfId="3" applyFont="1"/>
    <xf numFmtId="0" fontId="16" fillId="4" borderId="8" xfId="6"/>
    <xf numFmtId="0" fontId="14" fillId="2" borderId="6" xfId="4"/>
    <xf numFmtId="44" fontId="15" fillId="3" borderId="7" xfId="5" applyNumberFormat="1"/>
    <xf numFmtId="0" fontId="9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6" fontId="16" fillId="4" borderId="8" xfId="6" applyNumberFormat="1"/>
    <xf numFmtId="164" fontId="17" fillId="3" borderId="6" xfId="7" applyNumberFormat="1"/>
    <xf numFmtId="6" fontId="17" fillId="3" borderId="6" xfId="7" applyNumberFormat="1"/>
  </cellXfs>
  <cellStyles count="8">
    <cellStyle name="Cálculo" xfId="7" builtinId="22"/>
    <cellStyle name="Celda de comprobación" xfId="6" builtinId="23"/>
    <cellStyle name="Entrada" xfId="4" builtinId="20"/>
    <cellStyle name="Hipervínculo" xfId="1" builtinId="8"/>
    <cellStyle name="Moneda" xfId="3" builtinId="4"/>
    <cellStyle name="Normal" xfId="0" builtinId="0"/>
    <cellStyle name="Salida" xfId="5" builtinId="21"/>
    <cellStyle name="Título" xfId="2" builtinId="15"/>
  </cellStyles>
  <dxfs count="39">
    <dxf>
      <numFmt numFmtId="164" formatCode="#,##0.00\ &quot;€&quot;"/>
    </dxf>
    <dxf>
      <alignment vertical="center"/>
    </dxf>
    <dxf>
      <alignment horizontal="center"/>
    </dxf>
    <dxf>
      <numFmt numFmtId="164" formatCode="#,##0.00\ &quot;€&quot;"/>
    </dxf>
    <dxf>
      <alignment vertical="center"/>
    </dxf>
    <dxf>
      <alignment horizontal="center"/>
    </dxf>
    <dxf>
      <numFmt numFmtId="164" formatCode="#,##0.00\ &quot;€&quot;"/>
    </dxf>
    <dxf>
      <alignment vertical="center"/>
    </dxf>
    <dxf>
      <alignment horizontal="center"/>
    </dxf>
    <dxf>
      <numFmt numFmtId="164" formatCode="#,##0.00\ &quot;€&quot;"/>
    </dxf>
    <dxf>
      <alignment vertical="center"/>
    </dxf>
    <dxf>
      <alignment horizontal="center"/>
    </dxf>
    <dxf>
      <numFmt numFmtId="10" formatCode="#,##0\ &quot;€&quot;;[Red]\-#,##0\ &quot;€&quot;"/>
    </dxf>
    <dxf>
      <numFmt numFmtId="10" formatCode="#,##0\ &quot;€&quot;;[Red]\-#,##0\ &quot;€&quot;"/>
    </dxf>
    <dxf>
      <numFmt numFmtId="10" formatCode="#,##0\ &quot;€&quot;;[Red]\-#,##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</border>
    </dxf>
    <dxf>
      <alignment horizontal="center" vertical="bottom" textRotation="0" wrapText="0" indent="0" justifyLastLine="0" shrinkToFit="0" readingOrder="0"/>
    </dxf>
    <dxf>
      <alignment horizontal="center"/>
    </dxf>
    <dxf>
      <alignment vertical="center"/>
    </dxf>
    <dxf>
      <numFmt numFmtId="164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[Factura empresa Darío Nieto Lorente.xlsx]Estadísticas!TablaDinámica1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GASTO</a:t>
            </a:r>
            <a:r>
              <a:rPr lang="en-US" sz="1200" baseline="0"/>
              <a:t> SALARIOS POR TIPO DE PERSONAL</a:t>
            </a:r>
            <a:endParaRPr lang="en-US" sz="1200"/>
          </a:p>
        </c:rich>
      </c:tx>
      <c:layout>
        <c:manualLayout>
          <c:xMode val="edge"/>
          <c:yMode val="edge"/>
          <c:x val="0.263333333333333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Estadísticas!$L$3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A2-4968-90E0-0470A49547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A2-4968-90E0-0470A49547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A2-4968-90E0-0470A49547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A2-4968-90E0-0470A4954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Estadísticas!$K$4:$K$8</c:f>
              <c:strCache>
                <c:ptCount val="4"/>
                <c:pt idx="0">
                  <c:v>Cuerpo Técnico</c:v>
                </c:pt>
                <c:pt idx="1">
                  <c:v>Directiva</c:v>
                </c:pt>
                <c:pt idx="2">
                  <c:v>Logística</c:v>
                </c:pt>
                <c:pt idx="3">
                  <c:v>Plantilla</c:v>
                </c:pt>
              </c:strCache>
            </c:strRef>
          </c:cat>
          <c:val>
            <c:numRef>
              <c:f>Estadísticas!$L$4:$L$8</c:f>
              <c:numCache>
                <c:formatCode>#,##0.00\ "€"</c:formatCode>
                <c:ptCount val="4"/>
                <c:pt idx="0">
                  <c:v>851657.14285714296</c:v>
                </c:pt>
                <c:pt idx="1">
                  <c:v>5184000</c:v>
                </c:pt>
                <c:pt idx="2">
                  <c:v>2530285.7142857146</c:v>
                </c:pt>
                <c:pt idx="3">
                  <c:v>4640914.2857142864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3-4F8D-9C4D-40E6C4ABB40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Gastos</a:t>
            </a:r>
            <a:r>
              <a:rPr lang="es-ES" baseline="0"/>
              <a:t> de campaña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Estadísticas!$C$2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Estadísticas!$B$3:$B$16</c:f>
              <c:strCache>
                <c:ptCount val="14"/>
                <c:pt idx="0">
                  <c:v>Almacenamiento</c:v>
                </c:pt>
                <c:pt idx="1">
                  <c:v>Producción equipaciones de juego</c:v>
                </c:pt>
                <c:pt idx="2">
                  <c:v>Empresa tiendas físicas y online</c:v>
                </c:pt>
                <c:pt idx="3">
                  <c:v>Empresa limpieza campos</c:v>
                </c:pt>
                <c:pt idx="4">
                  <c:v>Empresa Mantenimiento de Campo</c:v>
                </c:pt>
                <c:pt idx="5">
                  <c:v>Materiales de entrenamiento especializados</c:v>
                </c:pt>
                <c:pt idx="6">
                  <c:v>Hoteles</c:v>
                </c:pt>
                <c:pt idx="7">
                  <c:v>Viajes</c:v>
                </c:pt>
                <c:pt idx="8">
                  <c:v>Dietas</c:v>
                </c:pt>
                <c:pt idx="9">
                  <c:v>Fichajes</c:v>
                </c:pt>
                <c:pt idx="10">
                  <c:v>Anuncios del club</c:v>
                </c:pt>
                <c:pt idx="11">
                  <c:v>Servidores web</c:v>
                </c:pt>
                <c:pt idx="12">
                  <c:v>Marketing redes sociales</c:v>
                </c:pt>
                <c:pt idx="13">
                  <c:v>Producción productos de merchandishing</c:v>
                </c:pt>
              </c:strCache>
            </c:strRef>
          </c:cat>
          <c:val>
            <c:numRef>
              <c:f>Estadísticas!$C$3:$C$16</c:f>
              <c:numCache>
                <c:formatCode>#,##0.00\ "€"</c:formatCode>
                <c:ptCount val="14"/>
                <c:pt idx="0">
                  <c:v>3546789.12</c:v>
                </c:pt>
                <c:pt idx="1">
                  <c:v>206237.73999999996</c:v>
                </c:pt>
                <c:pt idx="2">
                  <c:v>5010000</c:v>
                </c:pt>
                <c:pt idx="3">
                  <c:v>435000</c:v>
                </c:pt>
                <c:pt idx="4">
                  <c:v>1550000</c:v>
                </c:pt>
                <c:pt idx="5">
                  <c:v>1213036.3799999999</c:v>
                </c:pt>
                <c:pt idx="6">
                  <c:v>1493005</c:v>
                </c:pt>
                <c:pt idx="7">
                  <c:v>325701</c:v>
                </c:pt>
                <c:pt idx="8">
                  <c:v>1419718.97</c:v>
                </c:pt>
                <c:pt idx="9">
                  <c:v>5690000</c:v>
                </c:pt>
                <c:pt idx="10">
                  <c:v>1299000</c:v>
                </c:pt>
                <c:pt idx="11">
                  <c:v>562000</c:v>
                </c:pt>
                <c:pt idx="12">
                  <c:v>1117911</c:v>
                </c:pt>
                <c:pt idx="13">
                  <c:v>1345785.99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F63-B80F-89381B679A27}"/>
            </c:ext>
          </c:extLst>
        </c:ser>
        <c:ser>
          <c:idx val="1"/>
          <c:order val="1"/>
          <c:tx>
            <c:strRef>
              <c:f>Estadísticas!$D$2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Estadísticas!$B$3:$B$16</c:f>
              <c:strCache>
                <c:ptCount val="14"/>
                <c:pt idx="0">
                  <c:v>Almacenamiento</c:v>
                </c:pt>
                <c:pt idx="1">
                  <c:v>Producción equipaciones de juego</c:v>
                </c:pt>
                <c:pt idx="2">
                  <c:v>Empresa tiendas físicas y online</c:v>
                </c:pt>
                <c:pt idx="3">
                  <c:v>Empresa limpieza campos</c:v>
                </c:pt>
                <c:pt idx="4">
                  <c:v>Empresa Mantenimiento de Campo</c:v>
                </c:pt>
                <c:pt idx="5">
                  <c:v>Materiales de entrenamiento especializados</c:v>
                </c:pt>
                <c:pt idx="6">
                  <c:v>Hoteles</c:v>
                </c:pt>
                <c:pt idx="7">
                  <c:v>Viajes</c:v>
                </c:pt>
                <c:pt idx="8">
                  <c:v>Dietas</c:v>
                </c:pt>
                <c:pt idx="9">
                  <c:v>Fichajes</c:v>
                </c:pt>
                <c:pt idx="10">
                  <c:v>Anuncios del club</c:v>
                </c:pt>
                <c:pt idx="11">
                  <c:v>Servidores web</c:v>
                </c:pt>
                <c:pt idx="12">
                  <c:v>Marketing redes sociales</c:v>
                </c:pt>
                <c:pt idx="13">
                  <c:v>Producción productos de merchandishing</c:v>
                </c:pt>
              </c:strCache>
            </c:strRef>
          </c:cat>
          <c:val>
            <c:numRef>
              <c:f>Estadísticas!$D$3:$D$16</c:f>
              <c:numCache>
                <c:formatCode>"€"#,##0_);[Red]\("€"#,##0\)</c:formatCode>
                <c:ptCount val="14"/>
                <c:pt idx="0">
                  <c:v>591131.52</c:v>
                </c:pt>
                <c:pt idx="1">
                  <c:v>34372.956666666658</c:v>
                </c:pt>
                <c:pt idx="2">
                  <c:v>835000</c:v>
                </c:pt>
                <c:pt idx="3">
                  <c:v>72500</c:v>
                </c:pt>
                <c:pt idx="4">
                  <c:v>258333.33333333334</c:v>
                </c:pt>
                <c:pt idx="5">
                  <c:v>202172.72999999998</c:v>
                </c:pt>
                <c:pt idx="6">
                  <c:v>248834.16666666666</c:v>
                </c:pt>
                <c:pt idx="7">
                  <c:v>54283.5</c:v>
                </c:pt>
                <c:pt idx="8">
                  <c:v>236619.82833333334</c:v>
                </c:pt>
                <c:pt idx="9">
                  <c:v>948333.33333333337</c:v>
                </c:pt>
                <c:pt idx="10">
                  <c:v>216500</c:v>
                </c:pt>
                <c:pt idx="11">
                  <c:v>93666.666666666672</c:v>
                </c:pt>
                <c:pt idx="12">
                  <c:v>186318.5</c:v>
                </c:pt>
                <c:pt idx="13">
                  <c:v>224297.66500000001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5-4F63-B80F-89381B679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933840"/>
        <c:axId val="1789934800"/>
      </c:areaChart>
      <c:catAx>
        <c:axId val="17899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9934800"/>
        <c:crosses val="autoZero"/>
        <c:auto val="1"/>
        <c:lblAlgn val="ctr"/>
        <c:lblOffset val="100"/>
        <c:noMultiLvlLbl val="0"/>
      </c:catAx>
      <c:valAx>
        <c:axId val="1789934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9933840"/>
        <c:crosses val="autoZero"/>
        <c:crossBetween val="midCat"/>
        <c:majorUnit val="1000000"/>
        <c:minorUnit val="5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'Balance total'!$D$13</c:f>
              <c:strCache>
                <c:ptCount val="1"/>
                <c:pt idx="0">
                  <c:v>CANTIDAD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'Balance total'!$C$14:$C$17</c:f>
              <c:strCache>
                <c:ptCount val="4"/>
                <c:pt idx="0">
                  <c:v>Ingresos Totales</c:v>
                </c:pt>
                <c:pt idx="1">
                  <c:v>Ganancias Brutas</c:v>
                </c:pt>
                <c:pt idx="2">
                  <c:v>Gastos totales</c:v>
                </c:pt>
                <c:pt idx="3">
                  <c:v>Ganancias Netas depúes de 25% de impuesto sobre beneficios</c:v>
                </c:pt>
              </c:strCache>
            </c:strRef>
          </c:cat>
          <c:val>
            <c:numRef>
              <c:f>'Balance total'!$D$14:$D$17</c:f>
              <c:numCache>
                <c:formatCode>#,##0.00\ "€"</c:formatCode>
                <c:ptCount val="4"/>
                <c:pt idx="0">
                  <c:v>113376325.99199998</c:v>
                </c:pt>
                <c:pt idx="1">
                  <c:v>74955283.649142832</c:v>
                </c:pt>
                <c:pt idx="2">
                  <c:v>38421042.342857145</c:v>
                </c:pt>
                <c:pt idx="3">
                  <c:v>56216462.736857124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B-4D32-B8B2-84366D504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125568"/>
        <c:axId val="87934256"/>
        <c:axId val="0"/>
      </c:bar3DChart>
      <c:catAx>
        <c:axId val="981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934256"/>
        <c:crosses val="autoZero"/>
        <c:auto val="1"/>
        <c:lblAlgn val="ctr"/>
        <c:lblOffset val="100"/>
        <c:noMultiLvlLbl val="0"/>
      </c:catAx>
      <c:valAx>
        <c:axId val="879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1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Men&#250; Principal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en&#250; Principal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en&#250; Principal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en&#250; Principal'!A1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1095375</xdr:colOff>
      <xdr:row>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AB1DC-A035-CAC7-4291-B1ED72AE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04975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2117</xdr:colOff>
      <xdr:row>16</xdr:row>
      <xdr:rowOff>164570</xdr:rowOff>
    </xdr:from>
    <xdr:to>
      <xdr:col>15</xdr:col>
      <xdr:colOff>721178</xdr:colOff>
      <xdr:row>39</xdr:row>
      <xdr:rowOff>163285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A6CBCD-B4D7-4AD0-8670-462CAD77A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16</xdr:row>
      <xdr:rowOff>180975</xdr:rowOff>
    </xdr:from>
    <xdr:to>
      <xdr:col>8</xdr:col>
      <xdr:colOff>9525</xdr:colOff>
      <xdr:row>37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79FD1A-5FB8-EAB4-4846-C344AB77F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19050</xdr:rowOff>
    </xdr:from>
    <xdr:to>
      <xdr:col>0</xdr:col>
      <xdr:colOff>742950</xdr:colOff>
      <xdr:row>3</xdr:row>
      <xdr:rowOff>114300</xdr:rowOff>
    </xdr:to>
    <xdr:pic>
      <xdr:nvPicPr>
        <xdr:cNvPr id="5" name="Gráfico 4" descr="Icono de menú de hamburguesa con rellen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37ACCF-8420-8987-FCC1-21972EEC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19050"/>
          <a:ext cx="742950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742950</xdr:colOff>
      <xdr:row>5</xdr:row>
      <xdr:rowOff>9525</xdr:rowOff>
    </xdr:to>
    <xdr:pic>
      <xdr:nvPicPr>
        <xdr:cNvPr id="3" name="Gráfico 2" descr="Icono de menú de hamburguesa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69CBA-6493-448D-AC87-65A17AED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742950" cy="742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22</xdr:row>
      <xdr:rowOff>19050</xdr:rowOff>
    </xdr:from>
    <xdr:to>
      <xdr:col>0</xdr:col>
      <xdr:colOff>781050</xdr:colOff>
      <xdr:row>25</xdr:row>
      <xdr:rowOff>85725</xdr:rowOff>
    </xdr:to>
    <xdr:pic>
      <xdr:nvPicPr>
        <xdr:cNvPr id="2" name="Gráfico 1" descr="Icono de menú de hamburguesa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DC6BA-D3E8-4943-A57B-B5CDFE5B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8100" y="4210050"/>
          <a:ext cx="742950" cy="742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314325</xdr:colOff>
      <xdr:row>4</xdr:row>
      <xdr:rowOff>171450</xdr:rowOff>
    </xdr:to>
    <xdr:pic>
      <xdr:nvPicPr>
        <xdr:cNvPr id="2" name="Gráfico 1" descr="Icono de menú de hamburguesa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C53FB-D8A8-4C47-94DB-C12B1407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1009650" cy="1009650"/>
        </a:xfrm>
        <a:prstGeom prst="rect">
          <a:avLst/>
        </a:prstGeom>
      </xdr:spPr>
    </xdr:pic>
    <xdr:clientData/>
  </xdr:twoCellAnchor>
  <xdr:twoCellAnchor>
    <xdr:from>
      <xdr:col>2</xdr:col>
      <xdr:colOff>67236</xdr:colOff>
      <xdr:row>19</xdr:row>
      <xdr:rowOff>146796</xdr:rowOff>
    </xdr:from>
    <xdr:to>
      <xdr:col>4</xdr:col>
      <xdr:colOff>22412</xdr:colOff>
      <xdr:row>39</xdr:row>
      <xdr:rowOff>22411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AEC2AE9-A324-45B4-8483-BA09FEB4A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R1A-23" refreshedDate="45188.420196064813" createdVersion="8" refreshedVersion="6" minRefreshableVersion="3" recordCount="19" xr:uid="{05C8E793-3B18-4753-B5F2-FB22E90965FF}">
  <cacheSource type="worksheet">
    <worksheetSource ref="A3:H22" sheet="Salarios"/>
  </cacheSource>
  <cacheFields count="8">
    <cacheField name="Tipo de Personal" numFmtId="0">
      <sharedItems count="4">
        <s v="Directiva"/>
        <s v="Cuerpo Técnico"/>
        <s v="Plantilla"/>
        <s v="Logística"/>
      </sharedItems>
    </cacheField>
    <cacheField name="Rango" numFmtId="0">
      <sharedItems/>
    </cacheField>
    <cacheField name="Nombre" numFmtId="0">
      <sharedItems/>
    </cacheField>
    <cacheField name="Apellidos" numFmtId="0">
      <sharedItems/>
    </cacheField>
    <cacheField name="Salario/mes" numFmtId="6">
      <sharedItems containsSemiMixedTypes="0" containsString="0" containsNumber="1" containsInteger="1" minValue="13000" maxValue="190000"/>
    </cacheField>
    <cacheField name="Salario Total" numFmtId="6">
      <sharedItems containsSemiMixedTypes="0" containsString="0" containsNumber="1" containsInteger="1" minValue="156000" maxValue="2280000"/>
    </cacheField>
    <cacheField name="Prima por Contrato" numFmtId="6">
      <sharedItems containsSemiMixedTypes="0" containsString="0" containsNumber="1" minValue="4457.1428571428569" maxValue="65142.857142857145"/>
    </cacheField>
    <cacheField name="Total del Año" numFmtId="6">
      <sharedItems containsSemiMixedTypes="0" containsString="0" containsNumber="1" minValue="160457.14285714287" maxValue="2345142.8571428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s v="Presidente"/>
    <s v="Odey"/>
    <s v="Muñoz Cruz"/>
    <n v="190000"/>
    <n v="2280000"/>
    <n v="65142.857142857145"/>
    <n v="2345142.8571428573"/>
  </r>
  <r>
    <x v="0"/>
    <s v="Secretario General"/>
    <s v="Razvan Adríán Vasile"/>
    <s v="Borz "/>
    <n v="80000"/>
    <n v="960000"/>
    <n v="27428.571428571428"/>
    <n v="987428.57142857148"/>
  </r>
  <r>
    <x v="0"/>
    <s v="Delegado de Campo"/>
    <s v="Alejandro"/>
    <s v="Portillo Díaz"/>
    <n v="150000"/>
    <n v="1800000"/>
    <n v="51428.571428571428"/>
    <n v="1851428.5714285714"/>
  </r>
  <r>
    <x v="1"/>
    <s v="Entrenador"/>
    <s v="José Manuel"/>
    <s v="Díaz Fernandez"/>
    <n v="44000"/>
    <n v="528000"/>
    <n v="15085.714285714286"/>
    <n v="543085.71428571432"/>
  </r>
  <r>
    <x v="1"/>
    <s v="Segundo Entrenador"/>
    <s v="Diego Pablo"/>
    <s v="Simeone"/>
    <n v="25000"/>
    <n v="300000"/>
    <n v="8571.4285714285706"/>
    <n v="308571.42857142858"/>
  </r>
  <r>
    <x v="2"/>
    <s v="Jugador"/>
    <s v="Mario"/>
    <s v="Montalvo Palacios"/>
    <n v="100500"/>
    <n v="1206000"/>
    <n v="34457.142857142855"/>
    <n v="1240457.142857143"/>
  </r>
  <r>
    <x v="2"/>
    <s v="Jugador"/>
    <s v="Jesús"/>
    <s v="Nieto Rodríguez"/>
    <n v="80000"/>
    <n v="960000"/>
    <n v="27428.571428571428"/>
    <n v="987428.57142857148"/>
  </r>
  <r>
    <x v="2"/>
    <s v="Jugador"/>
    <s v="Koldo"/>
    <s v="De Diego"/>
    <n v="24000"/>
    <n v="288000"/>
    <n v="8228.5714285714294"/>
    <n v="296228.57142857142"/>
  </r>
  <r>
    <x v="2"/>
    <s v="Jugador"/>
    <s v="Hugo"/>
    <s v="Moreno Sabater"/>
    <n v="15000"/>
    <n v="180000"/>
    <n v="5142.8571428571431"/>
    <n v="185142.85714285713"/>
  </r>
  <r>
    <x v="2"/>
    <s v="Jugador"/>
    <s v="Alfons "/>
    <s v="Luna Biddle"/>
    <n v="28000"/>
    <n v="336000"/>
    <n v="9600"/>
    <n v="345600"/>
  </r>
  <r>
    <x v="2"/>
    <s v="Jugador"/>
    <s v="Jorge"/>
    <s v="Montesinos Fernández"/>
    <n v="43000"/>
    <n v="516000"/>
    <n v="14742.857142857141"/>
    <n v="530742.85714285716"/>
  </r>
  <r>
    <x v="2"/>
    <s v="Jugador"/>
    <s v="Michel"/>
    <s v="Jordan De Santa"/>
    <n v="25000"/>
    <n v="300000"/>
    <n v="8571.4285714285706"/>
    <n v="308571.42857142858"/>
  </r>
  <r>
    <x v="2"/>
    <s v="Jugador"/>
    <s v="Federico"/>
    <s v="Díaz Díaz"/>
    <n v="13000"/>
    <n v="156000"/>
    <n v="4457.1428571428569"/>
    <n v="160457.14285714287"/>
  </r>
  <r>
    <x v="2"/>
    <s v="Jugador"/>
    <s v="Manuel"/>
    <s v="Arias Navarro"/>
    <n v="32500"/>
    <n v="390000"/>
    <n v="11142.857142857143"/>
    <n v="401142.85714285716"/>
  </r>
  <r>
    <x v="2"/>
    <s v="Jugador"/>
    <s v="Thomas "/>
    <s v="Zapatero Rodríguez"/>
    <n v="15000"/>
    <n v="180000"/>
    <n v="5142.8571428571431"/>
    <n v="185142.85714285713"/>
  </r>
  <r>
    <x v="3"/>
    <s v="Directora de campaña"/>
    <s v="Cristina "/>
    <s v="Horta"/>
    <n v="50000"/>
    <n v="600000"/>
    <n v="17142.857142857141"/>
    <n v="617142.85714285716"/>
  </r>
  <r>
    <x v="3"/>
    <s v="Director de organización"/>
    <s v="Alejandro"/>
    <s v="Lozano López"/>
    <n v="80000"/>
    <n v="960000"/>
    <n v="27428.571428571428"/>
    <n v="987428.57142857148"/>
  </r>
  <r>
    <x v="3"/>
    <s v="Tesorero"/>
    <s v="Daniel Zinedine"/>
    <s v="González Medina"/>
    <n v="40000"/>
    <n v="480000"/>
    <n v="13714.285714285714"/>
    <n v="493714.28571428574"/>
  </r>
  <r>
    <x v="3"/>
    <s v="Directora Club de Fans"/>
    <s v="Sofía "/>
    <s v="Todorova"/>
    <n v="35000"/>
    <n v="420000"/>
    <n v="12000"/>
    <n v="43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D987B-AA8E-4714-A9F9-D31AC7943D46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" rowHeaderCaption="Tipo de personal">
  <location ref="K3:L8" firstHeaderRow="1" firstDataRow="1" firstDataCol="1"/>
  <pivotFields count="8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numFmtId="6" showAll="0"/>
    <pivotField numFmtId="6" showAll="0"/>
    <pivotField numFmtId="6" showAll="0"/>
    <pivotField dataField="1" numFmtId="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ario Anual" fld="7" baseField="0" baseItem="0" numFmtId="164"/>
  </dataFields>
  <formats count="3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75E5E4-7A36-4112-8919-99D73FDC3570}" name="Tabla4" displayName="Tabla4" ref="C6:C11" totalsRowShown="0" headerRowDxfId="38" dataDxfId="37">
  <autoFilter ref="C6:C11" xr:uid="{DA75E5E4-7A36-4112-8919-99D73FDC3570}"/>
  <tableColumns count="1">
    <tableColumn id="1" xr3:uid="{027C325F-B675-4373-875D-5E40E3791773}" name="Páginas de la Factura" dataDxfId="3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3D26D-11F2-45A4-A43F-A4BD468FECE4}" name="Tabla2" displayName="Tabla2" ref="B2:D16" totalsRowShown="0" headerRowDxfId="32" tableBorderDxfId="31">
  <autoFilter ref="B2:D16" xr:uid="{FE33D26D-11F2-45A4-A43F-A4BD468FECE4}"/>
  <tableColumns count="3">
    <tableColumn id="1" xr3:uid="{1121A565-898D-469D-B337-BAC28D5F77C2}" name="Concepto" dataDxfId="30">
      <calculatedColumnFormula>' Gancias y Gastos'!B25</calculatedColumnFormula>
    </tableColumn>
    <tableColumn id="3" xr3:uid="{F763C6E2-AD76-44D8-AAE1-EB8C18C30794}" name="Total" dataDxfId="29">
      <calculatedColumnFormula>SUM(' Gancias y Gastos'!C25:H25)</calculatedColumnFormula>
    </tableColumn>
    <tableColumn id="2" xr3:uid="{F749255A-1D2B-4374-A6F6-AF64A6BC7D97}" name="Medi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B306BC-E6C2-4ADB-8587-3880F3338F4F}" name="Tabla11" displayName="Tabla11" ref="B11:D21" totalsRowShown="0">
  <autoFilter ref="B11:D21" xr:uid="{E7B306BC-E6C2-4ADB-8587-3880F3338F4F}"/>
  <tableColumns count="3">
    <tableColumn id="1" xr3:uid="{8B6CE394-E74A-4215-8BF7-86FB91098BA0}" name="Concepto"/>
    <tableColumn id="2" xr3:uid="{BEFCA861-DE36-4240-BA0B-253C027B1B89}" name="Ingresos" dataDxfId="28"/>
    <tableColumn id="5" xr3:uid="{A6EF0A94-3C0E-41BA-A396-F4A856F109E6}" name="Ingresos netos" dataDxfId="27">
      <calculatedColumnFormula>Tabla11[[#This Row],[Ingresos]]-(Tabla11[[#This Row],[Ingresos]]*0.2)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28F371-222A-4273-B57C-4ED378F30575}" name="Tabla5" displayName="Tabla5" ref="B24:H41" totalsRowCount="1">
  <autoFilter ref="B24:H40" xr:uid="{AC28F371-222A-4273-B57C-4ED378F30575}"/>
  <tableColumns count="7">
    <tableColumn id="1" xr3:uid="{5627A770-C615-4A7B-9ACC-9974F1BB7691}" name="Concepto" totalsRowLabel="Gasto máximo por concepto"/>
    <tableColumn id="2" xr3:uid="{8B903C2C-2333-4CD9-9464-1FA415D487A4}" name="Liga Endesa" totalsRowFunction="max" dataDxfId="26" totalsRowDxfId="25"/>
    <tableColumn id="3" xr3:uid="{B93CEBF7-9AF8-4887-A022-5F4C919427DB}" name="Euroliga" totalsRowFunction="max" dataDxfId="24" totalsRowDxfId="23"/>
    <tableColumn id="4" xr3:uid="{2D2F96A3-A9C6-496E-98AC-583251270560}" name="Venta de productos de merchandishing" totalsRowFunction="max" dataDxfId="22" totalsRowDxfId="21"/>
    <tableColumn id="5" xr3:uid="{38044DD4-2012-4FE2-8A43-6AC534294B92}" name="Venta de entradas" totalsRowFunction="max" dataDxfId="20" totalsRowDxfId="19"/>
    <tableColumn id="6" xr3:uid="{EAC7B67A-1BD0-4F9E-9017-DD3691C7231D}" name="Copa del Rey" totalsRowFunction="max" dataDxfId="18" totalsRowDxfId="17"/>
    <tableColumn id="11" xr3:uid="{D4749578-6819-4956-BD2A-A3B1F9943B19}" name="Anuncios página web" totalsRowFunction="max" dataDxfId="16" totalsRowDxfId="1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4F562E-8716-4422-955A-19A4E4ADB57A}" name="Tabla54" displayName="Tabla54" ref="B3:G22" totalsRowShown="0">
  <autoFilter ref="B3:G22" xr:uid="{B84F562E-8716-4422-955A-19A4E4ADB57A}"/>
  <tableColumns count="6">
    <tableColumn id="1" xr3:uid="{A4327297-269E-4D5B-9123-F8D866BD6B5E}" name="Rango"/>
    <tableColumn id="2" xr3:uid="{0EFCB73F-A8D9-441F-8AEB-E79A4EAA6F7A}" name="Nombre"/>
    <tableColumn id="3" xr3:uid="{53C07800-7568-46B8-B702-7A987CB9EBC2}" name="Apellidos"/>
    <tableColumn id="4" xr3:uid="{88C01958-BD5D-478F-8283-DCA5849CCE7A}" name="Salario/mes"/>
    <tableColumn id="5" xr3:uid="{83BED7FC-811D-4CFD-8CB8-7047602F2DE4}" name="Salario Total" dataDxfId="14">
      <calculatedColumnFormula>Tabla54[[#This Row],[Salario/mes]]*12</calculatedColumnFormula>
    </tableColumn>
    <tableColumn id="6" xr3:uid="{E5C24E95-AE4F-4F24-8425-B23E02EDBB76}" name="Prima por Contrato" dataDxfId="13">
      <calculatedColumnFormula>(Tabla54[[#This Row],[Salario Total]]/7)/5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CDBEBD-0C33-413C-9C21-0DA3D4C4341C}" name="Tabla68" displayName="Tabla68" ref="H3:H23" totalsRowShown="0">
  <autoFilter ref="H3:H23" xr:uid="{2CCDBEBD-0C33-413C-9C21-0DA3D4C4341C}"/>
  <tableColumns count="1">
    <tableColumn id="1" xr3:uid="{2B51C2F4-934A-47B3-87FC-93D1EFC01D14}" name="Total del Año" dataDxfId="12">
      <calculatedColumnFormula>#REF!+#REF!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4B7282-508C-4AAC-BF88-F1458C6D9587}" name="Tabla6" displayName="Tabla6" ref="A3:A22" totalsRowShown="0">
  <autoFilter ref="A3:A22" xr:uid="{194B7282-508C-4AAC-BF88-F1458C6D9587}"/>
  <tableColumns count="1">
    <tableColumn id="1" xr3:uid="{C484EFB3-5A97-4634-A6A1-F8ADE69DD9EA}" name="Tipo de Person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1"/>
  <sheetViews>
    <sheetView showGridLines="0" showRowColHeaders="0" zoomScale="120" zoomScaleNormal="120" workbookViewId="0">
      <selection activeCell="C7" sqref="C7"/>
    </sheetView>
  </sheetViews>
  <sheetFormatPr baseColWidth="10" defaultColWidth="9.140625" defaultRowHeight="15" x14ac:dyDescent="0.25"/>
  <cols>
    <col min="2" max="2" width="25" customWidth="1"/>
    <col min="3" max="3" width="62.85546875" bestFit="1" customWidth="1"/>
  </cols>
  <sheetData>
    <row r="4" spans="3:7" ht="23.25" x14ac:dyDescent="0.35">
      <c r="C4" s="21" t="s">
        <v>0</v>
      </c>
      <c r="D4" s="1"/>
      <c r="E4" s="1"/>
      <c r="F4" s="1"/>
      <c r="G4" s="3"/>
    </row>
    <row r="6" spans="3:7" ht="21" x14ac:dyDescent="0.35">
      <c r="C6" s="2" t="s">
        <v>1</v>
      </c>
      <c r="D6" s="2"/>
    </row>
    <row r="7" spans="3:7" ht="21" x14ac:dyDescent="0.35">
      <c r="C7" s="4" t="s">
        <v>2</v>
      </c>
      <c r="D7" s="2"/>
    </row>
    <row r="8" spans="3:7" ht="21" x14ac:dyDescent="0.35">
      <c r="C8" s="4" t="s">
        <v>3</v>
      </c>
      <c r="D8" s="2"/>
    </row>
    <row r="9" spans="3:7" ht="21" x14ac:dyDescent="0.35">
      <c r="C9" s="4" t="s">
        <v>4</v>
      </c>
      <c r="D9" s="2"/>
    </row>
    <row r="10" spans="3:7" ht="21" x14ac:dyDescent="0.35">
      <c r="C10" s="4" t="s">
        <v>5</v>
      </c>
      <c r="D10" s="2"/>
    </row>
    <row r="11" spans="3:7" ht="21" x14ac:dyDescent="0.35">
      <c r="C11" s="2"/>
    </row>
  </sheetData>
  <hyperlinks>
    <hyperlink ref="C9" location="Salarios!A1" display="Salarios" xr:uid="{AC6CE6C7-CB1B-42C4-AD93-875D2CE00ACD}"/>
    <hyperlink ref="C7" location="Estadísticas!A1" display="Estadísticas" xr:uid="{CAF108F2-B71F-4EFF-AB5C-BD8C212B22D9}"/>
    <hyperlink ref="C8" location="' Gancias y Gastos'!A1" display="Gancias y Gastos" xr:uid="{A8912B0D-0A20-4E4F-AE9F-1097865DE6A7}"/>
    <hyperlink ref="C10" location="'Balance total'!A1" display="Balance Total" xr:uid="{14AB4121-D792-4DEE-BAFC-1407CFA7F9BD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216D-A1B6-4282-9669-38F6D650F11E}">
  <dimension ref="B1:L16"/>
  <sheetViews>
    <sheetView showGridLines="0" showRowColHeaders="0" zoomScale="70" zoomScaleNormal="70" workbookViewId="0">
      <selection activeCell="S11" sqref="S11"/>
    </sheetView>
  </sheetViews>
  <sheetFormatPr baseColWidth="10" defaultColWidth="11.42578125" defaultRowHeight="15" x14ac:dyDescent="0.25"/>
  <cols>
    <col min="2" max="2" width="38.140625" bestFit="1" customWidth="1"/>
    <col min="3" max="3" width="15.5703125" customWidth="1"/>
    <col min="4" max="4" width="12" customWidth="1"/>
    <col min="5" max="5" width="14.140625" bestFit="1" customWidth="1"/>
    <col min="6" max="6" width="14.5703125" bestFit="1" customWidth="1"/>
    <col min="9" max="9" width="13.140625" bestFit="1" customWidth="1"/>
    <col min="10" max="10" width="18" bestFit="1" customWidth="1"/>
    <col min="11" max="11" width="24" bestFit="1" customWidth="1"/>
    <col min="12" max="12" width="18.7109375" bestFit="1" customWidth="1"/>
    <col min="13" max="13" width="25.7109375" bestFit="1" customWidth="1"/>
  </cols>
  <sheetData>
    <row r="1" spans="2:12" ht="21" x14ac:dyDescent="0.35">
      <c r="B1" s="26" t="s">
        <v>6</v>
      </c>
      <c r="C1" s="26"/>
      <c r="D1" s="26"/>
    </row>
    <row r="2" spans="2:12" x14ac:dyDescent="0.25">
      <c r="B2" s="16" t="s">
        <v>7</v>
      </c>
      <c r="C2" s="16" t="s">
        <v>8</v>
      </c>
      <c r="D2" s="16" t="s">
        <v>9</v>
      </c>
    </row>
    <row r="3" spans="2:12" x14ac:dyDescent="0.25">
      <c r="B3" s="9" t="str">
        <f>' Gancias y Gastos'!B25</f>
        <v>Almacenamiento</v>
      </c>
      <c r="C3" s="10">
        <f>SUM(' Gancias y Gastos'!C25:H25)</f>
        <v>3546789.12</v>
      </c>
      <c r="D3" s="5">
        <f>AVERAGE(' Gancias y Gastos'!C25:H25)</f>
        <v>591131.52</v>
      </c>
      <c r="K3" s="13" t="s">
        <v>10</v>
      </c>
      <c r="L3" s="15" t="s">
        <v>11</v>
      </c>
    </row>
    <row r="4" spans="2:12" x14ac:dyDescent="0.25">
      <c r="B4" s="9" t="str">
        <f>' Gancias y Gastos'!B26</f>
        <v>Producción equipaciones de juego</v>
      </c>
      <c r="C4" s="10">
        <f>SUM(' Gancias y Gastos'!C26:H26)</f>
        <v>206237.73999999996</v>
      </c>
      <c r="D4" s="5">
        <f>AVERAGE(' Gancias y Gastos'!C26:H26)</f>
        <v>34372.956666666658</v>
      </c>
      <c r="K4" s="14" t="s">
        <v>12</v>
      </c>
      <c r="L4" s="10">
        <v>851657.14285714296</v>
      </c>
    </row>
    <row r="5" spans="2:12" x14ac:dyDescent="0.25">
      <c r="B5" s="9" t="str">
        <f>' Gancias y Gastos'!B27</f>
        <v>Empresa tiendas físicas y online</v>
      </c>
      <c r="C5" s="10">
        <f>SUM(' Gancias y Gastos'!C27:H27)</f>
        <v>5010000</v>
      </c>
      <c r="D5" s="5">
        <f>AVERAGE(' Gancias y Gastos'!C27:H27)</f>
        <v>835000</v>
      </c>
      <c r="K5" s="14" t="s">
        <v>13</v>
      </c>
      <c r="L5" s="10">
        <v>5184000</v>
      </c>
    </row>
    <row r="6" spans="2:12" x14ac:dyDescent="0.25">
      <c r="B6" s="9" t="str">
        <f>' Gancias y Gastos'!B28</f>
        <v>Empresa limpieza campos</v>
      </c>
      <c r="C6" s="10">
        <f>SUM(' Gancias y Gastos'!C28:H28)</f>
        <v>435000</v>
      </c>
      <c r="D6" s="5">
        <f>AVERAGE(' Gancias y Gastos'!C28:H28)</f>
        <v>72500</v>
      </c>
      <c r="F6" s="10"/>
      <c r="K6" s="14" t="s">
        <v>14</v>
      </c>
      <c r="L6" s="10">
        <v>2530285.7142857146</v>
      </c>
    </row>
    <row r="7" spans="2:12" x14ac:dyDescent="0.25">
      <c r="B7" s="9" t="str">
        <f>' Gancias y Gastos'!B29</f>
        <v>Empresa Mantenimiento de Campo</v>
      </c>
      <c r="C7" s="10">
        <f>SUM(' Gancias y Gastos'!C29:H29)</f>
        <v>1550000</v>
      </c>
      <c r="D7" s="5">
        <f>AVERAGE(' Gancias y Gastos'!C29:H29)</f>
        <v>258333.33333333334</v>
      </c>
      <c r="K7" s="14" t="s">
        <v>15</v>
      </c>
      <c r="L7" s="10">
        <v>4640914.2857142864</v>
      </c>
    </row>
    <row r="8" spans="2:12" x14ac:dyDescent="0.25">
      <c r="B8" s="9" t="str">
        <f>' Gancias y Gastos'!B30</f>
        <v>Materiales de entrenamiento especializados</v>
      </c>
      <c r="C8" s="10">
        <f>SUM(' Gancias y Gastos'!C30:H30)</f>
        <v>1213036.3799999999</v>
      </c>
      <c r="D8" s="5">
        <f>AVERAGE(' Gancias y Gastos'!C30:H30)</f>
        <v>202172.72999999998</v>
      </c>
      <c r="F8" s="22"/>
      <c r="K8" s="14" t="s">
        <v>16</v>
      </c>
      <c r="L8" s="10">
        <v>13206857.142857146</v>
      </c>
    </row>
    <row r="9" spans="2:12" x14ac:dyDescent="0.25">
      <c r="B9" s="9" t="str">
        <f>' Gancias y Gastos'!B31</f>
        <v>Hoteles</v>
      </c>
      <c r="C9" s="10">
        <f>SUM(' Gancias y Gastos'!C31:H31)</f>
        <v>1493005</v>
      </c>
      <c r="D9" s="5">
        <f>AVERAGE(' Gancias y Gastos'!C31:H31)</f>
        <v>248834.16666666666</v>
      </c>
    </row>
    <row r="10" spans="2:12" x14ac:dyDescent="0.25">
      <c r="B10" s="9" t="str">
        <f>' Gancias y Gastos'!B32</f>
        <v>Viajes</v>
      </c>
      <c r="C10" s="10">
        <f>SUM(' Gancias y Gastos'!C32:H32)</f>
        <v>325701</v>
      </c>
      <c r="D10" s="5">
        <f>AVERAGE(' Gancias y Gastos'!C32:H32)</f>
        <v>54283.5</v>
      </c>
    </row>
    <row r="11" spans="2:12" x14ac:dyDescent="0.25">
      <c r="B11" s="9" t="str">
        <f>' Gancias y Gastos'!B33</f>
        <v>Dietas</v>
      </c>
      <c r="C11" s="10">
        <f>SUM(' Gancias y Gastos'!C33:H33)</f>
        <v>1419718.97</v>
      </c>
      <c r="D11" s="5">
        <f>AVERAGE(' Gancias y Gastos'!C33:H33)</f>
        <v>236619.82833333334</v>
      </c>
      <c r="I11" s="10"/>
    </row>
    <row r="12" spans="2:12" x14ac:dyDescent="0.25">
      <c r="B12" s="9" t="str">
        <f>' Gancias y Gastos'!B34</f>
        <v>Fichajes</v>
      </c>
      <c r="C12" s="10">
        <f>SUM(' Gancias y Gastos'!C34:H34)</f>
        <v>5690000</v>
      </c>
      <c r="D12" s="5">
        <f>AVERAGE(' Gancias y Gastos'!C34:H34)</f>
        <v>948333.33333333337</v>
      </c>
    </row>
    <row r="13" spans="2:12" x14ac:dyDescent="0.25">
      <c r="B13" s="9" t="str">
        <f>' Gancias y Gastos'!B35</f>
        <v>Anuncios del club</v>
      </c>
      <c r="C13" s="10">
        <f>SUM(' Gancias y Gastos'!C35:H35)</f>
        <v>1299000</v>
      </c>
      <c r="D13" s="5">
        <f>AVERAGE(' Gancias y Gastos'!C35:H35)</f>
        <v>216500</v>
      </c>
    </row>
    <row r="14" spans="2:12" x14ac:dyDescent="0.25">
      <c r="B14" s="9" t="str">
        <f>' Gancias y Gastos'!B36</f>
        <v>Servidores web</v>
      </c>
      <c r="C14" s="10">
        <f>SUM(' Gancias y Gastos'!C36:H36)</f>
        <v>562000</v>
      </c>
      <c r="D14" s="5">
        <f>AVERAGE(' Gancias y Gastos'!C36:H36)</f>
        <v>93666.666666666672</v>
      </c>
    </row>
    <row r="15" spans="2:12" x14ac:dyDescent="0.25">
      <c r="B15" s="9" t="str">
        <f>' Gancias y Gastos'!B37</f>
        <v>Marketing redes sociales</v>
      </c>
      <c r="C15" s="10">
        <f>SUM(' Gancias y Gastos'!C37:H37)</f>
        <v>1117911</v>
      </c>
      <c r="D15" s="5">
        <f>AVERAGE(' Gancias y Gastos'!C37:H37)</f>
        <v>186318.5</v>
      </c>
    </row>
    <row r="16" spans="2:12" x14ac:dyDescent="0.25">
      <c r="B16" s="9" t="str">
        <f>' Gancias y Gastos'!B38</f>
        <v>Producción productos de merchandishing</v>
      </c>
      <c r="C16" s="10">
        <f>SUM(' Gancias y Gastos'!C38:H38)</f>
        <v>1345785.99</v>
      </c>
      <c r="D16" s="5">
        <f>AVERAGE(' Gancias y Gastos'!C38:H38)</f>
        <v>224297.66500000001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FF1A-3DFE-4A26-B624-1E357A5C1FDB}">
  <dimension ref="B3:H45"/>
  <sheetViews>
    <sheetView showGridLines="0" showRowColHeaders="0" topLeftCell="C14" zoomScale="85" zoomScaleNormal="85" workbookViewId="0">
      <selection activeCell="F17" sqref="F17"/>
    </sheetView>
  </sheetViews>
  <sheetFormatPr baseColWidth="10" defaultColWidth="11.42578125" defaultRowHeight="15" x14ac:dyDescent="0.25"/>
  <cols>
    <col min="2" max="2" width="43.140625" bestFit="1" customWidth="1"/>
    <col min="3" max="3" width="18.85546875" bestFit="1" customWidth="1"/>
    <col min="4" max="4" width="19.42578125" customWidth="1"/>
    <col min="5" max="5" width="50.28515625" bestFit="1" customWidth="1"/>
    <col min="6" max="6" width="19.5703125" bestFit="1" customWidth="1"/>
    <col min="7" max="7" width="20" bestFit="1" customWidth="1"/>
    <col min="8" max="8" width="22.140625" bestFit="1" customWidth="1"/>
    <col min="9" max="9" width="21.42578125" bestFit="1" customWidth="1"/>
    <col min="10" max="10" width="22.140625" bestFit="1" customWidth="1"/>
  </cols>
  <sheetData>
    <row r="3" spans="2:7" ht="22.5" customHeight="1" x14ac:dyDescent="0.35">
      <c r="B3" s="6" t="s">
        <v>17</v>
      </c>
    </row>
    <row r="4" spans="2:7" ht="1.5" customHeight="1" x14ac:dyDescent="0.25"/>
    <row r="5" spans="2:7" ht="3.75" customHeight="1" x14ac:dyDescent="0.25"/>
    <row r="6" spans="2:7" ht="14.25" customHeight="1" x14ac:dyDescent="0.25">
      <c r="B6" s="27" t="s">
        <v>18</v>
      </c>
      <c r="C6" s="27"/>
      <c r="D6" s="27"/>
    </row>
    <row r="7" spans="2:7" ht="3" hidden="1" customHeight="1" x14ac:dyDescent="0.25"/>
    <row r="8" spans="2:7" hidden="1" x14ac:dyDescent="0.25"/>
    <row r="9" spans="2:7" hidden="1" x14ac:dyDescent="0.25"/>
    <row r="10" spans="2:7" hidden="1" x14ac:dyDescent="0.25"/>
    <row r="11" spans="2:7" ht="15.75" thickBot="1" x14ac:dyDescent="0.3">
      <c r="B11" t="s">
        <v>7</v>
      </c>
      <c r="C11" t="s">
        <v>19</v>
      </c>
      <c r="D11" t="s">
        <v>20</v>
      </c>
    </row>
    <row r="12" spans="2:7" ht="16.5" thickTop="1" thickBot="1" x14ac:dyDescent="0.3">
      <c r="B12" t="s">
        <v>21</v>
      </c>
      <c r="C12" s="10">
        <v>10500000</v>
      </c>
      <c r="D12" s="10">
        <f>Tabla11[[#This Row],[Ingresos]]-(Tabla11[[#This Row],[Ingresos]]*0.2)</f>
        <v>8400000</v>
      </c>
      <c r="F12" s="23" t="s">
        <v>108</v>
      </c>
      <c r="G12" s="25">
        <f>MAX(Tabla11[[Ingresos]:[Ingresos netos]])</f>
        <v>80000000</v>
      </c>
    </row>
    <row r="13" spans="2:7" ht="16.5" thickTop="1" thickBot="1" x14ac:dyDescent="0.3">
      <c r="B13" t="s">
        <v>22</v>
      </c>
      <c r="C13" s="10">
        <v>3400000</v>
      </c>
      <c r="D13" s="10">
        <f>Tabla11[[#This Row],[Ingresos]]-(Tabla11[[#This Row],[Ingresos]]*0.2)</f>
        <v>2720000</v>
      </c>
      <c r="F13" s="24"/>
      <c r="G13" s="24"/>
    </row>
    <row r="14" spans="2:7" ht="16.5" thickTop="1" thickBot="1" x14ac:dyDescent="0.3">
      <c r="B14" t="s">
        <v>23</v>
      </c>
      <c r="C14" s="10">
        <v>35648964.5</v>
      </c>
      <c r="D14" s="10">
        <f>Tabla11[[#This Row],[Ingresos]]-(Tabla11[[#This Row],[Ingresos]]*0.2)</f>
        <v>28519171.600000001</v>
      </c>
      <c r="F14" s="23" t="s">
        <v>109</v>
      </c>
      <c r="G14" s="25">
        <f>MIN(Tabla11[[Ingresos]:[Ingresos netos]])</f>
        <v>106400</v>
      </c>
    </row>
    <row r="15" spans="2:7" ht="16.5" thickTop="1" thickBot="1" x14ac:dyDescent="0.3">
      <c r="B15" t="s">
        <v>24</v>
      </c>
      <c r="C15" s="10">
        <v>3672895.99</v>
      </c>
      <c r="D15" s="10">
        <f>Tabla11[[#This Row],[Ingresos]]-(Tabla11[[#This Row],[Ingresos]]*0.2)</f>
        <v>2938316.7920000004</v>
      </c>
      <c r="F15" s="24"/>
      <c r="G15" s="24"/>
    </row>
    <row r="16" spans="2:7" ht="16.5" thickTop="1" thickBot="1" x14ac:dyDescent="0.3">
      <c r="B16" t="s">
        <v>25</v>
      </c>
      <c r="C16" s="10">
        <v>4100000</v>
      </c>
      <c r="D16" s="10">
        <f>Tabla11[[#This Row],[Ingresos]]-(Tabla11[[#This Row],[Ingresos]]*0.2)</f>
        <v>3280000</v>
      </c>
      <c r="F16" s="23" t="s">
        <v>110</v>
      </c>
      <c r="G16" s="25">
        <f>AVERAGE(Tabla11[[Ingresos]:[Ingresos netos]])</f>
        <v>12754836.6741</v>
      </c>
    </row>
    <row r="17" spans="2:8" ht="15.75" thickTop="1" x14ac:dyDescent="0.25">
      <c r="B17" t="s">
        <v>26</v>
      </c>
      <c r="C17" s="10">
        <v>567893</v>
      </c>
      <c r="D17" s="10">
        <f>Tabla11[[#This Row],[Ingresos]]-(Tabla11[[#This Row],[Ingresos]]*0.2)</f>
        <v>454314.4</v>
      </c>
    </row>
    <row r="18" spans="2:8" x14ac:dyDescent="0.25">
      <c r="B18" t="s">
        <v>27</v>
      </c>
      <c r="C18" s="10">
        <v>80000000</v>
      </c>
      <c r="D18" s="10">
        <f>Tabla11[[#This Row],[Ingresos]]-(Tabla11[[#This Row],[Ingresos]]*0.2)</f>
        <v>64000000</v>
      </c>
    </row>
    <row r="19" spans="2:8" x14ac:dyDescent="0.25">
      <c r="B19" t="s">
        <v>28</v>
      </c>
      <c r="C19" s="10">
        <v>133000</v>
      </c>
      <c r="D19" s="10">
        <f>Tabla11[[#This Row],[Ingresos]]-(Tabla11[[#This Row],[Ingresos]]*0.2)</f>
        <v>106400</v>
      </c>
    </row>
    <row r="20" spans="2:8" x14ac:dyDescent="0.25">
      <c r="B20" t="s">
        <v>29</v>
      </c>
      <c r="C20" s="10">
        <v>876342</v>
      </c>
      <c r="D20" s="10">
        <f>Tabla11[[#This Row],[Ingresos]]-(Tabla11[[#This Row],[Ingresos]]*0.2)</f>
        <v>701073.6</v>
      </c>
    </row>
    <row r="21" spans="2:8" x14ac:dyDescent="0.25">
      <c r="B21" t="s">
        <v>30</v>
      </c>
      <c r="C21" s="10">
        <v>2821312</v>
      </c>
      <c r="D21" s="10">
        <f>Tabla11[[#This Row],[Ingresos]]-(Tabla11[[#This Row],[Ingresos]]*0.2)</f>
        <v>2257049.6000000001</v>
      </c>
    </row>
    <row r="23" spans="2:8" x14ac:dyDescent="0.25">
      <c r="B23" s="27" t="s">
        <v>31</v>
      </c>
      <c r="C23" s="27"/>
      <c r="D23" s="27"/>
      <c r="E23" s="27"/>
      <c r="F23" s="27"/>
      <c r="G23" s="27"/>
      <c r="H23" s="27"/>
    </row>
    <row r="24" spans="2:8" x14ac:dyDescent="0.25">
      <c r="B24" t="s">
        <v>7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30</v>
      </c>
    </row>
    <row r="25" spans="2:8" x14ac:dyDescent="0.25">
      <c r="B25" t="s">
        <v>32</v>
      </c>
      <c r="C25" s="10">
        <v>0</v>
      </c>
      <c r="D25" s="10">
        <v>0</v>
      </c>
      <c r="E25" s="10">
        <v>3546789.12</v>
      </c>
      <c r="F25" s="10">
        <v>0</v>
      </c>
      <c r="G25" s="10">
        <v>0</v>
      </c>
      <c r="H25" s="10">
        <v>0</v>
      </c>
    </row>
    <row r="26" spans="2:8" x14ac:dyDescent="0.25">
      <c r="B26" t="s">
        <v>33</v>
      </c>
      <c r="C26" s="10">
        <v>194556.86</v>
      </c>
      <c r="D26" s="10">
        <v>7891.55</v>
      </c>
      <c r="E26" s="10">
        <v>0</v>
      </c>
      <c r="F26" s="10">
        <v>0</v>
      </c>
      <c r="G26" s="10">
        <v>3789.33</v>
      </c>
      <c r="H26" s="10">
        <v>0</v>
      </c>
    </row>
    <row r="27" spans="2:8" x14ac:dyDescent="0.25">
      <c r="B27" t="s">
        <v>34</v>
      </c>
      <c r="C27" s="10">
        <v>0</v>
      </c>
      <c r="D27" s="10">
        <v>0</v>
      </c>
      <c r="E27" s="10">
        <v>2500000</v>
      </c>
      <c r="F27" s="10">
        <v>2500000</v>
      </c>
      <c r="G27" s="10">
        <v>0</v>
      </c>
      <c r="H27" s="10">
        <v>10000</v>
      </c>
    </row>
    <row r="28" spans="2:8" x14ac:dyDescent="0.25">
      <c r="B28" t="s">
        <v>35</v>
      </c>
      <c r="C28" s="10">
        <v>400000</v>
      </c>
      <c r="D28" s="10">
        <v>20000</v>
      </c>
      <c r="E28" s="10">
        <v>0</v>
      </c>
      <c r="F28" s="10">
        <v>0</v>
      </c>
      <c r="G28" s="10">
        <v>15000</v>
      </c>
      <c r="H28" s="10">
        <v>0</v>
      </c>
    </row>
    <row r="29" spans="2:8" x14ac:dyDescent="0.25">
      <c r="B29" t="s">
        <v>36</v>
      </c>
      <c r="C29" s="10">
        <v>1000000</v>
      </c>
      <c r="D29" s="10">
        <v>300000</v>
      </c>
      <c r="E29" s="10">
        <v>0</v>
      </c>
      <c r="F29" s="10">
        <v>0</v>
      </c>
      <c r="G29" s="10">
        <v>250000</v>
      </c>
      <c r="H29" s="10">
        <v>0</v>
      </c>
    </row>
    <row r="30" spans="2:8" x14ac:dyDescent="0.25">
      <c r="B30" t="s">
        <v>37</v>
      </c>
      <c r="C30" s="10">
        <v>573678.84</v>
      </c>
      <c r="D30" s="10">
        <v>85789.78</v>
      </c>
      <c r="E30" s="10">
        <v>0</v>
      </c>
      <c r="F30" s="10">
        <v>0</v>
      </c>
      <c r="G30" s="10">
        <v>553567.76</v>
      </c>
      <c r="H30" s="10">
        <v>0</v>
      </c>
    </row>
    <row r="31" spans="2:8" x14ac:dyDescent="0.25">
      <c r="B31" t="s">
        <v>38</v>
      </c>
      <c r="C31" s="10">
        <v>826876</v>
      </c>
      <c r="D31" s="10">
        <v>150456</v>
      </c>
      <c r="E31" s="10">
        <v>0</v>
      </c>
      <c r="F31" s="10">
        <v>0</v>
      </c>
      <c r="G31" s="10">
        <v>515673</v>
      </c>
      <c r="H31" s="10">
        <v>0</v>
      </c>
    </row>
    <row r="32" spans="2:8" x14ac:dyDescent="0.25">
      <c r="B32" t="s">
        <v>39</v>
      </c>
      <c r="C32" s="10">
        <v>147893</v>
      </c>
      <c r="D32" s="10">
        <v>88456</v>
      </c>
      <c r="E32" s="10">
        <v>0</v>
      </c>
      <c r="F32" s="10">
        <v>0</v>
      </c>
      <c r="G32" s="10">
        <v>89352</v>
      </c>
      <c r="H32" s="10">
        <v>0</v>
      </c>
    </row>
    <row r="33" spans="2:8" x14ac:dyDescent="0.25">
      <c r="B33" t="s">
        <v>40</v>
      </c>
      <c r="C33" s="10">
        <v>578245.99</v>
      </c>
      <c r="D33" s="10">
        <v>425793.99</v>
      </c>
      <c r="E33" s="10">
        <v>0</v>
      </c>
      <c r="F33" s="10">
        <v>0</v>
      </c>
      <c r="G33" s="10">
        <v>415678.99</v>
      </c>
      <c r="H33" s="10">
        <v>0</v>
      </c>
    </row>
    <row r="34" spans="2:8" x14ac:dyDescent="0.25">
      <c r="B34" t="s">
        <v>41</v>
      </c>
      <c r="C34" s="10">
        <v>2350000</v>
      </c>
      <c r="D34" s="10">
        <v>1120000</v>
      </c>
      <c r="E34" s="10">
        <v>0</v>
      </c>
      <c r="F34" s="10">
        <v>0</v>
      </c>
      <c r="G34" s="10">
        <v>2220000</v>
      </c>
      <c r="H34" s="10">
        <v>0</v>
      </c>
    </row>
    <row r="35" spans="2:8" x14ac:dyDescent="0.25">
      <c r="B35" s="8" t="s">
        <v>42</v>
      </c>
      <c r="C35" s="11">
        <v>335000</v>
      </c>
      <c r="D35" s="11">
        <v>450000</v>
      </c>
      <c r="E35" s="11">
        <v>150000</v>
      </c>
      <c r="F35" s="11">
        <v>234000</v>
      </c>
      <c r="G35" s="11">
        <v>130000</v>
      </c>
      <c r="H35" s="12">
        <v>0</v>
      </c>
    </row>
    <row r="36" spans="2:8" x14ac:dyDescent="0.25">
      <c r="B36" s="8" t="s">
        <v>43</v>
      </c>
      <c r="C36" s="11">
        <v>0</v>
      </c>
      <c r="D36" s="11">
        <v>0</v>
      </c>
      <c r="E36" s="11">
        <v>15000</v>
      </c>
      <c r="F36" s="11">
        <v>10000</v>
      </c>
      <c r="G36" s="11">
        <v>0</v>
      </c>
      <c r="H36" s="12">
        <v>537000</v>
      </c>
    </row>
    <row r="37" spans="2:8" x14ac:dyDescent="0.25">
      <c r="B37" s="8" t="s">
        <v>44</v>
      </c>
      <c r="C37" s="11">
        <v>16455</v>
      </c>
      <c r="D37" s="11">
        <v>25739</v>
      </c>
      <c r="E37" s="11">
        <v>34818</v>
      </c>
      <c r="F37" s="11">
        <v>31987</v>
      </c>
      <c r="G37" s="11">
        <v>8912</v>
      </c>
      <c r="H37" s="11">
        <v>1000000</v>
      </c>
    </row>
    <row r="38" spans="2:8" x14ac:dyDescent="0.25">
      <c r="B38" s="8" t="s">
        <v>45</v>
      </c>
      <c r="C38" s="11">
        <v>0</v>
      </c>
      <c r="D38" s="11">
        <v>0</v>
      </c>
      <c r="E38" s="11">
        <v>1345785.99</v>
      </c>
      <c r="F38" s="11">
        <v>0</v>
      </c>
      <c r="G38" s="11">
        <v>0</v>
      </c>
      <c r="H38" s="11">
        <v>0</v>
      </c>
    </row>
    <row r="39" spans="2:8" x14ac:dyDescent="0.25">
      <c r="B39" s="17" t="s">
        <v>46</v>
      </c>
      <c r="C39" s="18">
        <f>SUBTOTAL(109,C25:C38)</f>
        <v>6422705.6899999995</v>
      </c>
      <c r="D39" s="18">
        <f t="shared" ref="D39:H39" si="0">SUBTOTAL(109,D25:D38)</f>
        <v>2674126.3199999998</v>
      </c>
      <c r="E39" s="18">
        <f t="shared" si="0"/>
        <v>7592393.1100000003</v>
      </c>
      <c r="F39" s="18">
        <f t="shared" si="0"/>
        <v>2775987</v>
      </c>
      <c r="G39" s="18">
        <f t="shared" si="0"/>
        <v>4201973.08</v>
      </c>
      <c r="H39" s="18">
        <f t="shared" si="0"/>
        <v>1547000</v>
      </c>
    </row>
    <row r="40" spans="2:8" x14ac:dyDescent="0.25">
      <c r="C40" s="10"/>
      <c r="D40" s="10"/>
      <c r="E40" s="10"/>
      <c r="F40" s="10"/>
      <c r="G40" s="10"/>
      <c r="H40" s="10"/>
    </row>
    <row r="41" spans="2:8" x14ac:dyDescent="0.25">
      <c r="B41" t="s">
        <v>47</v>
      </c>
      <c r="C41" s="10">
        <f>SUBTOTAL(104,Tabla5[Liga Endesa])</f>
        <v>2350000</v>
      </c>
      <c r="D41" s="10">
        <f>SUBTOTAL(104,Tabla5[Euroliga])</f>
        <v>1120000</v>
      </c>
      <c r="E41" s="10">
        <f>SUBTOTAL(104,Tabla5[Venta de productos de merchandishing])</f>
        <v>3546789.12</v>
      </c>
      <c r="F41" s="10">
        <f>SUBTOTAL(104,Tabla5[Venta de entradas])</f>
        <v>2500000</v>
      </c>
      <c r="G41" s="10">
        <f>SUBTOTAL(104,Tabla5[Copa del Rey])</f>
        <v>2220000</v>
      </c>
      <c r="H41" s="10">
        <f>SUBTOTAL(104,Tabla5[Anuncios página web])</f>
        <v>1000000</v>
      </c>
    </row>
    <row r="43" spans="2:8" x14ac:dyDescent="0.25">
      <c r="B43" s="10"/>
    </row>
    <row r="45" spans="2:8" x14ac:dyDescent="0.25">
      <c r="C45" s="10"/>
    </row>
  </sheetData>
  <mergeCells count="2">
    <mergeCell ref="B6:D6"/>
    <mergeCell ref="B23:H2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F053-3B96-4A75-9785-5ABFB5DB0A5F}">
  <dimension ref="A3:H29"/>
  <sheetViews>
    <sheetView showGridLines="0" showRowColHeaders="0" zoomScaleNormal="100" workbookViewId="0">
      <selection activeCell="D31" sqref="D31"/>
    </sheetView>
  </sheetViews>
  <sheetFormatPr baseColWidth="10" defaultColWidth="11.42578125" defaultRowHeight="15" x14ac:dyDescent="0.25"/>
  <cols>
    <col min="1" max="1" width="18" bestFit="1" customWidth="1"/>
    <col min="2" max="2" width="22.7109375" customWidth="1"/>
    <col min="3" max="3" width="25" customWidth="1"/>
    <col min="4" max="4" width="24.140625" customWidth="1"/>
    <col min="5" max="5" width="21.140625" customWidth="1"/>
    <col min="6" max="6" width="20" customWidth="1"/>
    <col min="7" max="7" width="23.7109375" customWidth="1"/>
    <col min="8" max="8" width="24.7109375" customWidth="1"/>
    <col min="9" max="9" width="11.42578125" customWidth="1"/>
  </cols>
  <sheetData>
    <row r="3" spans="1:8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</row>
    <row r="4" spans="1:8" x14ac:dyDescent="0.25">
      <c r="A4" t="s">
        <v>13</v>
      </c>
      <c r="B4" t="s">
        <v>56</v>
      </c>
      <c r="C4" t="s">
        <v>57</v>
      </c>
      <c r="D4" t="s">
        <v>58</v>
      </c>
      <c r="E4" s="5">
        <v>190000</v>
      </c>
      <c r="F4" s="5">
        <f>Tabla54[[#This Row],[Salario/mes]]*12</f>
        <v>2280000</v>
      </c>
      <c r="G4" s="5">
        <f>(Tabla54[[#This Row],[Salario Total]]/7)/5</f>
        <v>65142.857142857145</v>
      </c>
      <c r="H4" s="5">
        <f>Tabla54[[#This Row],[Salario Total]]+Tabla54[[#This Row],[Prima por Contrato]]</f>
        <v>2345142.8571428573</v>
      </c>
    </row>
    <row r="5" spans="1:8" x14ac:dyDescent="0.25">
      <c r="A5" t="s">
        <v>13</v>
      </c>
      <c r="B5" t="s">
        <v>59</v>
      </c>
      <c r="C5" t="s">
        <v>60</v>
      </c>
      <c r="D5" t="s">
        <v>61</v>
      </c>
      <c r="E5" s="5">
        <v>80000</v>
      </c>
      <c r="F5" s="5">
        <f>Tabla54[[#This Row],[Salario/mes]]*12</f>
        <v>960000</v>
      </c>
      <c r="G5" s="5">
        <f>(Tabla54[[#This Row],[Salario Total]]/7)/5</f>
        <v>27428.571428571428</v>
      </c>
      <c r="H5" s="5">
        <f>Tabla54[[#This Row],[Salario Total]]+Tabla54[[#This Row],[Prima por Contrato]]</f>
        <v>987428.57142857148</v>
      </c>
    </row>
    <row r="6" spans="1:8" x14ac:dyDescent="0.25">
      <c r="A6" t="s">
        <v>13</v>
      </c>
      <c r="B6" t="s">
        <v>62</v>
      </c>
      <c r="C6" t="s">
        <v>63</v>
      </c>
      <c r="D6" t="s">
        <v>64</v>
      </c>
      <c r="E6" s="5">
        <v>150000</v>
      </c>
      <c r="F6" s="5">
        <f>Tabla54[[#This Row],[Salario/mes]]*12</f>
        <v>1800000</v>
      </c>
      <c r="G6" s="5">
        <f>(Tabla54[[#This Row],[Salario Total]]/7)/5</f>
        <v>51428.571428571428</v>
      </c>
      <c r="H6" s="5">
        <f>Tabla54[[#This Row],[Salario Total]]+Tabla54[[#This Row],[Prima por Contrato]]</f>
        <v>1851428.5714285714</v>
      </c>
    </row>
    <row r="7" spans="1:8" x14ac:dyDescent="0.25">
      <c r="A7" t="s">
        <v>12</v>
      </c>
      <c r="B7" t="s">
        <v>65</v>
      </c>
      <c r="C7" t="s">
        <v>66</v>
      </c>
      <c r="D7" t="s">
        <v>67</v>
      </c>
      <c r="E7" s="5">
        <v>44000</v>
      </c>
      <c r="F7" s="5">
        <f>Tabla54[[#This Row],[Salario/mes]]*12</f>
        <v>528000</v>
      </c>
      <c r="G7" s="5">
        <f>(Tabla54[[#This Row],[Salario Total]]/7)/5</f>
        <v>15085.714285714286</v>
      </c>
      <c r="H7" s="5">
        <f>Tabla54[[#This Row],[Salario Total]]+Tabla54[[#This Row],[Prima por Contrato]]</f>
        <v>543085.71428571432</v>
      </c>
    </row>
    <row r="8" spans="1:8" x14ac:dyDescent="0.25">
      <c r="A8" t="s">
        <v>12</v>
      </c>
      <c r="B8" t="s">
        <v>68</v>
      </c>
      <c r="C8" t="s">
        <v>69</v>
      </c>
      <c r="D8" t="s">
        <v>70</v>
      </c>
      <c r="E8" s="5">
        <v>25000</v>
      </c>
      <c r="F8" s="5">
        <f>Tabla54[[#This Row],[Salario/mes]]*12</f>
        <v>300000</v>
      </c>
      <c r="G8" s="5">
        <f>(Tabla54[[#This Row],[Salario Total]]/7)/5</f>
        <v>8571.4285714285706</v>
      </c>
      <c r="H8" s="5">
        <f>Tabla54[[#This Row],[Salario Total]]+Tabla54[[#This Row],[Prima por Contrato]]</f>
        <v>308571.42857142858</v>
      </c>
    </row>
    <row r="9" spans="1:8" x14ac:dyDescent="0.25">
      <c r="A9" t="s">
        <v>15</v>
      </c>
      <c r="B9" t="s">
        <v>71</v>
      </c>
      <c r="C9" t="s">
        <v>72</v>
      </c>
      <c r="D9" t="s">
        <v>73</v>
      </c>
      <c r="E9" s="5">
        <v>100500</v>
      </c>
      <c r="F9" s="5">
        <f>Tabla54[[#This Row],[Salario/mes]]*12</f>
        <v>1206000</v>
      </c>
      <c r="G9" s="5">
        <f>(Tabla54[[#This Row],[Salario Total]]/7)/5</f>
        <v>34457.142857142855</v>
      </c>
      <c r="H9" s="5">
        <f>Tabla54[[#This Row],[Salario Total]]+Tabla54[[#This Row],[Prima por Contrato]]</f>
        <v>1240457.142857143</v>
      </c>
    </row>
    <row r="10" spans="1:8" x14ac:dyDescent="0.25">
      <c r="A10" t="s">
        <v>15</v>
      </c>
      <c r="B10" t="s">
        <v>71</v>
      </c>
      <c r="C10" t="s">
        <v>74</v>
      </c>
      <c r="D10" t="s">
        <v>75</v>
      </c>
      <c r="E10" s="5">
        <v>80000</v>
      </c>
      <c r="F10" s="5">
        <f>Tabla54[[#This Row],[Salario/mes]]*12</f>
        <v>960000</v>
      </c>
      <c r="G10" s="5">
        <f>(Tabla54[[#This Row],[Salario Total]]/7)/5</f>
        <v>27428.571428571428</v>
      </c>
      <c r="H10" s="5">
        <f>Tabla54[[#This Row],[Salario Total]]+Tabla54[[#This Row],[Prima por Contrato]]</f>
        <v>987428.57142857148</v>
      </c>
    </row>
    <row r="11" spans="1:8" x14ac:dyDescent="0.25">
      <c r="A11" t="s">
        <v>15</v>
      </c>
      <c r="B11" t="s">
        <v>71</v>
      </c>
      <c r="C11" t="s">
        <v>76</v>
      </c>
      <c r="D11" t="s">
        <v>77</v>
      </c>
      <c r="E11" s="5">
        <v>24000</v>
      </c>
      <c r="F11" s="5">
        <f>Tabla54[[#This Row],[Salario/mes]]*12</f>
        <v>288000</v>
      </c>
      <c r="G11" s="5">
        <f>(Tabla54[[#This Row],[Salario Total]]/7)/5</f>
        <v>8228.5714285714294</v>
      </c>
      <c r="H11" s="5">
        <f>Tabla54[[#This Row],[Salario Total]]+Tabla54[[#This Row],[Prima por Contrato]]</f>
        <v>296228.57142857142</v>
      </c>
    </row>
    <row r="12" spans="1:8" x14ac:dyDescent="0.25">
      <c r="A12" t="s">
        <v>15</v>
      </c>
      <c r="B12" t="s">
        <v>71</v>
      </c>
      <c r="C12" t="s">
        <v>78</v>
      </c>
      <c r="D12" t="s">
        <v>79</v>
      </c>
      <c r="E12" s="5">
        <v>15000</v>
      </c>
      <c r="F12" s="5">
        <f>Tabla54[[#This Row],[Salario/mes]]*12</f>
        <v>180000</v>
      </c>
      <c r="G12" s="5">
        <f>(Tabla54[[#This Row],[Salario Total]]/7)/5</f>
        <v>5142.8571428571431</v>
      </c>
      <c r="H12" s="5">
        <f>Tabla54[[#This Row],[Salario Total]]+Tabla54[[#This Row],[Prima por Contrato]]</f>
        <v>185142.85714285713</v>
      </c>
    </row>
    <row r="13" spans="1:8" x14ac:dyDescent="0.25">
      <c r="A13" t="s">
        <v>15</v>
      </c>
      <c r="B13" t="s">
        <v>71</v>
      </c>
      <c r="C13" t="s">
        <v>80</v>
      </c>
      <c r="D13" t="s">
        <v>81</v>
      </c>
      <c r="E13" s="5">
        <v>28000</v>
      </c>
      <c r="F13" s="5">
        <f>Tabla54[[#This Row],[Salario/mes]]*12</f>
        <v>336000</v>
      </c>
      <c r="G13" s="5">
        <f>(Tabla54[[#This Row],[Salario Total]]/7)/5</f>
        <v>9600</v>
      </c>
      <c r="H13" s="5">
        <f>Tabla54[[#This Row],[Salario Total]]+Tabla54[[#This Row],[Prima por Contrato]]</f>
        <v>345600</v>
      </c>
    </row>
    <row r="14" spans="1:8" x14ac:dyDescent="0.25">
      <c r="A14" t="s">
        <v>15</v>
      </c>
      <c r="B14" t="s">
        <v>71</v>
      </c>
      <c r="C14" t="s">
        <v>82</v>
      </c>
      <c r="D14" t="s">
        <v>83</v>
      </c>
      <c r="E14" s="5">
        <v>43000</v>
      </c>
      <c r="F14" s="5">
        <f>Tabla54[[#This Row],[Salario/mes]]*12</f>
        <v>516000</v>
      </c>
      <c r="G14" s="5">
        <f>(Tabla54[[#This Row],[Salario Total]]/7)/5</f>
        <v>14742.857142857141</v>
      </c>
      <c r="H14" s="5">
        <f>Tabla54[[#This Row],[Salario Total]]+Tabla54[[#This Row],[Prima por Contrato]]</f>
        <v>530742.85714285716</v>
      </c>
    </row>
    <row r="15" spans="1:8" x14ac:dyDescent="0.25">
      <c r="A15" t="s">
        <v>15</v>
      </c>
      <c r="B15" t="s">
        <v>71</v>
      </c>
      <c r="C15" t="s">
        <v>84</v>
      </c>
      <c r="D15" t="s">
        <v>85</v>
      </c>
      <c r="E15" s="5">
        <v>25000</v>
      </c>
      <c r="F15" s="5">
        <f>Tabla54[[#This Row],[Salario/mes]]*12</f>
        <v>300000</v>
      </c>
      <c r="G15" s="5">
        <f>(Tabla54[[#This Row],[Salario Total]]/7)/5</f>
        <v>8571.4285714285706</v>
      </c>
      <c r="H15" s="5">
        <f>Tabla54[[#This Row],[Salario Total]]+Tabla54[[#This Row],[Prima por Contrato]]</f>
        <v>308571.42857142858</v>
      </c>
    </row>
    <row r="16" spans="1:8" x14ac:dyDescent="0.25">
      <c r="A16" t="s">
        <v>15</v>
      </c>
      <c r="B16" t="s">
        <v>71</v>
      </c>
      <c r="C16" t="s">
        <v>86</v>
      </c>
      <c r="D16" t="s">
        <v>87</v>
      </c>
      <c r="E16" s="5">
        <v>13000</v>
      </c>
      <c r="F16" s="5">
        <f>Tabla54[[#This Row],[Salario/mes]]*12</f>
        <v>156000</v>
      </c>
      <c r="G16" s="5">
        <f>(Tabla54[[#This Row],[Salario Total]]/7)/5</f>
        <v>4457.1428571428569</v>
      </c>
      <c r="H16" s="5">
        <f>Tabla54[[#This Row],[Salario Total]]+Tabla54[[#This Row],[Prima por Contrato]]</f>
        <v>160457.14285714287</v>
      </c>
    </row>
    <row r="17" spans="1:8" x14ac:dyDescent="0.25">
      <c r="A17" t="s">
        <v>15</v>
      </c>
      <c r="B17" t="s">
        <v>71</v>
      </c>
      <c r="C17" t="s">
        <v>88</v>
      </c>
      <c r="D17" t="s">
        <v>89</v>
      </c>
      <c r="E17" s="5">
        <v>32500</v>
      </c>
      <c r="F17" s="5">
        <f>Tabla54[[#This Row],[Salario/mes]]*12</f>
        <v>390000</v>
      </c>
      <c r="G17" s="5">
        <f>(Tabla54[[#This Row],[Salario Total]]/7)/5</f>
        <v>11142.857142857143</v>
      </c>
      <c r="H17" s="5">
        <f>Tabla54[[#This Row],[Salario Total]]+Tabla54[[#This Row],[Prima por Contrato]]</f>
        <v>401142.85714285716</v>
      </c>
    </row>
    <row r="18" spans="1:8" x14ac:dyDescent="0.25">
      <c r="A18" t="s">
        <v>15</v>
      </c>
      <c r="B18" t="s">
        <v>71</v>
      </c>
      <c r="C18" t="s">
        <v>90</v>
      </c>
      <c r="D18" t="s">
        <v>91</v>
      </c>
      <c r="E18" s="5">
        <v>15000</v>
      </c>
      <c r="F18" s="5">
        <f>Tabla54[[#This Row],[Salario/mes]]*12</f>
        <v>180000</v>
      </c>
      <c r="G18" s="5">
        <f>(Tabla54[[#This Row],[Salario Total]]/7)/5</f>
        <v>5142.8571428571431</v>
      </c>
      <c r="H18" s="5">
        <f>Tabla54[[#This Row],[Salario Total]]+Tabla54[[#This Row],[Prima por Contrato]]</f>
        <v>185142.85714285713</v>
      </c>
    </row>
    <row r="19" spans="1:8" x14ac:dyDescent="0.25">
      <c r="A19" t="s">
        <v>14</v>
      </c>
      <c r="B19" t="s">
        <v>92</v>
      </c>
      <c r="C19" t="s">
        <v>93</v>
      </c>
      <c r="D19" t="s">
        <v>94</v>
      </c>
      <c r="E19" s="5">
        <v>50000</v>
      </c>
      <c r="F19" s="5">
        <f>Tabla54[[#This Row],[Salario/mes]]*12</f>
        <v>600000</v>
      </c>
      <c r="G19" s="5">
        <f>(Tabla54[[#This Row],[Salario Total]]/7)/5</f>
        <v>17142.857142857141</v>
      </c>
      <c r="H19" s="5">
        <f>Tabla54[[#This Row],[Salario Total]]+Tabla54[[#This Row],[Prima por Contrato]]</f>
        <v>617142.85714285716</v>
      </c>
    </row>
    <row r="20" spans="1:8" x14ac:dyDescent="0.25">
      <c r="A20" t="s">
        <v>14</v>
      </c>
      <c r="B20" t="s">
        <v>95</v>
      </c>
      <c r="C20" t="s">
        <v>63</v>
      </c>
      <c r="D20" t="s">
        <v>96</v>
      </c>
      <c r="E20" s="5">
        <v>80000</v>
      </c>
      <c r="F20" s="5">
        <f>Tabla54[[#This Row],[Salario/mes]]*12</f>
        <v>960000</v>
      </c>
      <c r="G20" s="5">
        <f>(Tabla54[[#This Row],[Salario Total]]/7)/5</f>
        <v>27428.571428571428</v>
      </c>
      <c r="H20" s="5">
        <f>Tabla54[[#This Row],[Salario Total]]+Tabla54[[#This Row],[Prima por Contrato]]</f>
        <v>987428.57142857148</v>
      </c>
    </row>
    <row r="21" spans="1:8" x14ac:dyDescent="0.25">
      <c r="A21" t="s">
        <v>14</v>
      </c>
      <c r="B21" t="s">
        <v>97</v>
      </c>
      <c r="C21" t="s">
        <v>98</v>
      </c>
      <c r="D21" t="s">
        <v>99</v>
      </c>
      <c r="E21" s="5">
        <v>40000</v>
      </c>
      <c r="F21" s="5">
        <f>Tabla54[[#This Row],[Salario/mes]]*12</f>
        <v>480000</v>
      </c>
      <c r="G21" s="5">
        <f>(Tabla54[[#This Row],[Salario Total]]/7)/5</f>
        <v>13714.285714285714</v>
      </c>
      <c r="H21" s="5">
        <f>Tabla54[[#This Row],[Salario Total]]+Tabla54[[#This Row],[Prima por Contrato]]</f>
        <v>493714.28571428574</v>
      </c>
    </row>
    <row r="22" spans="1:8" x14ac:dyDescent="0.25">
      <c r="A22" t="s">
        <v>14</v>
      </c>
      <c r="B22" t="s">
        <v>100</v>
      </c>
      <c r="C22" t="s">
        <v>101</v>
      </c>
      <c r="D22" t="s">
        <v>102</v>
      </c>
      <c r="E22" s="5">
        <v>35000</v>
      </c>
      <c r="F22" s="5">
        <f>Tabla54[[#This Row],[Salario/mes]]*12</f>
        <v>420000</v>
      </c>
      <c r="G22" s="5">
        <f>(Tabla54[[#This Row],[Salario Total]]/7)/5</f>
        <v>12000</v>
      </c>
      <c r="H22" s="5">
        <f>Tabla54[[#This Row],[Salario Total]]+Tabla54[[#This Row],[Prima por Contrato]]</f>
        <v>432000</v>
      </c>
    </row>
    <row r="23" spans="1:8" ht="23.25" x14ac:dyDescent="0.35">
      <c r="H23" s="7">
        <f>SUM(H4:H22)</f>
        <v>13206857.14285714</v>
      </c>
    </row>
    <row r="29" spans="1:8" x14ac:dyDescent="0.25">
      <c r="C29" s="5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AC35-3964-4097-8BE9-D88B138AF6DD}">
  <dimension ref="C2:E18"/>
  <sheetViews>
    <sheetView showGridLines="0" showRowColHeaders="0" tabSelected="1" zoomScale="85" zoomScaleNormal="85" workbookViewId="0">
      <selection activeCell="F30" sqref="F30"/>
    </sheetView>
  </sheetViews>
  <sheetFormatPr baseColWidth="10" defaultColWidth="11.42578125" defaultRowHeight="15" x14ac:dyDescent="0.25"/>
  <cols>
    <col min="1" max="1" width="10.42578125" customWidth="1"/>
    <col min="2" max="2" width="11.85546875" customWidth="1"/>
    <col min="3" max="3" width="53.42578125" bestFit="1" customWidth="1"/>
    <col min="4" max="4" width="28.42578125" bestFit="1" customWidth="1"/>
    <col min="5" max="5" width="24" bestFit="1" customWidth="1"/>
    <col min="6" max="6" width="36.28515625" bestFit="1" customWidth="1"/>
    <col min="7" max="7" width="17.42578125" bestFit="1" customWidth="1"/>
    <col min="8" max="8" width="14.28515625" bestFit="1" customWidth="1"/>
    <col min="9" max="9" width="19.5703125" customWidth="1"/>
    <col min="10" max="10" width="14.7109375" bestFit="1" customWidth="1"/>
    <col min="11" max="14" width="14.7109375" customWidth="1"/>
    <col min="15" max="15" width="20.7109375" bestFit="1" customWidth="1"/>
  </cols>
  <sheetData>
    <row r="2" spans="3:5" ht="21" x14ac:dyDescent="0.35">
      <c r="C2" s="19" t="s">
        <v>103</v>
      </c>
    </row>
    <row r="5" spans="3:5" ht="21" x14ac:dyDescent="0.35">
      <c r="C5" s="19" t="s">
        <v>104</v>
      </c>
      <c r="E5" s="19" t="s">
        <v>105</v>
      </c>
    </row>
    <row r="6" spans="3:5" ht="27" customHeight="1" x14ac:dyDescent="0.35">
      <c r="C6" s="20">
        <f>SUM(Tabla11[Ingresos netos])</f>
        <v>113376325.99199998</v>
      </c>
      <c r="E6" s="20">
        <f>SUM(' Gancias y Gastos'!C39:H39)+Salarios!H23</f>
        <v>38421042.342857145</v>
      </c>
    </row>
    <row r="8" spans="3:5" ht="21" x14ac:dyDescent="0.35">
      <c r="C8" s="19" t="s">
        <v>106</v>
      </c>
      <c r="E8" s="19" t="s">
        <v>107</v>
      </c>
    </row>
    <row r="9" spans="3:5" ht="30.75" customHeight="1" x14ac:dyDescent="0.35">
      <c r="C9" s="20">
        <f>C6-E6</f>
        <v>74955283.649142832</v>
      </c>
      <c r="E9" s="20">
        <f>C9-(C9*0.25)</f>
        <v>56216462.736857124</v>
      </c>
    </row>
    <row r="11" spans="3:5" ht="21" x14ac:dyDescent="0.35">
      <c r="C11" s="19"/>
    </row>
    <row r="12" spans="3:5" ht="21.75" thickBot="1" x14ac:dyDescent="0.4">
      <c r="C12" s="19"/>
      <c r="D12" s="5"/>
    </row>
    <row r="13" spans="3:5" ht="16.5" thickTop="1" thickBot="1" x14ac:dyDescent="0.3">
      <c r="C13" s="23" t="s">
        <v>112</v>
      </c>
      <c r="D13" s="28" t="s">
        <v>111</v>
      </c>
    </row>
    <row r="14" spans="3:5" ht="15.75" thickTop="1" x14ac:dyDescent="0.25">
      <c r="C14" s="30" t="str">
        <f>C5</f>
        <v>Ingresos Totales</v>
      </c>
      <c r="D14" s="29">
        <f>C6</f>
        <v>113376325.99199998</v>
      </c>
    </row>
    <row r="15" spans="3:5" x14ac:dyDescent="0.25">
      <c r="C15" s="30" t="str">
        <f>C8</f>
        <v>Ganancias Brutas</v>
      </c>
      <c r="D15" s="29">
        <f>C9</f>
        <v>74955283.649142832</v>
      </c>
    </row>
    <row r="16" spans="3:5" x14ac:dyDescent="0.25">
      <c r="C16" s="30" t="str">
        <f>E5</f>
        <v>Gastos totales</v>
      </c>
      <c r="D16" s="29">
        <f>E6</f>
        <v>38421042.342857145</v>
      </c>
    </row>
    <row r="17" spans="3:4" x14ac:dyDescent="0.25">
      <c r="C17" s="30" t="str">
        <f>E8</f>
        <v>Ganancias Netas depúes de 25% de impuesto sobre beneficios</v>
      </c>
      <c r="D17" s="29">
        <f>E9</f>
        <v>56216462.736857124</v>
      </c>
    </row>
    <row r="18" spans="3:4" x14ac:dyDescent="0.25">
      <c r="C18" s="5"/>
      <c r="D18" s="10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C1C126-E75B-459A-A5C1-48236CA2B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Menú Principal</vt:lpstr>
      <vt:lpstr>Estadísticas</vt:lpstr>
      <vt:lpstr> Gancias y Gastos</vt:lpstr>
      <vt:lpstr>Salarios</vt:lpstr>
      <vt:lpstr>Balance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024E</dc:creator>
  <cp:keywords/>
  <dc:description/>
  <cp:lastModifiedBy>SMR1A-23</cp:lastModifiedBy>
  <cp:revision/>
  <dcterms:created xsi:type="dcterms:W3CDTF">2015-06-05T18:19:34Z</dcterms:created>
  <dcterms:modified xsi:type="dcterms:W3CDTF">2023-11-03T12:00:57Z</dcterms:modified>
  <cp:category/>
  <cp:contentStatus/>
</cp:coreProperties>
</file>